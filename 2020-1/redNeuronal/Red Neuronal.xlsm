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oe\Desktop\ClaseIngenieria\"/>
    </mc:Choice>
  </mc:AlternateContent>
  <xr:revisionPtr revIDLastSave="0" documentId="13_ncr:1_{7BE70E91-C0A7-4D0B-90D6-03979092192E}" xr6:coauthVersionLast="45" xr6:coauthVersionMax="45" xr10:uidLastSave="{00000000-0000-0000-0000-000000000000}"/>
  <bookViews>
    <workbookView xWindow="-108" yWindow="-108" windowWidth="23256" windowHeight="12576" xr2:uid="{6F5AD6F1-24EE-49CD-B15E-C55B6A94A9EF}"/>
  </bookViews>
  <sheets>
    <sheet name="Red 2" sheetId="1" r:id="rId1"/>
    <sheet name="Red 1" sheetId="4" r:id="rId2"/>
    <sheet name="Léeme" sheetId="5"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5" i="1" l="1"/>
  <c r="I6" i="1" l="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L3" i="4" l="1"/>
  <c r="M3" i="4" s="1"/>
  <c r="F3"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4" i="4"/>
  <c r="L4" i="4"/>
  <c r="M4" i="4" s="1"/>
  <c r="L18" i="4"/>
  <c r="M18" i="4" s="1"/>
  <c r="L6" i="4"/>
  <c r="M6" i="4" s="1"/>
  <c r="L7" i="4"/>
  <c r="M7" i="4" s="1"/>
  <c r="L8" i="4"/>
  <c r="L9" i="4"/>
  <c r="M9" i="4" s="1"/>
  <c r="L10" i="4"/>
  <c r="L11" i="4"/>
  <c r="L12" i="4"/>
  <c r="M12" i="4" s="1"/>
  <c r="L13" i="4"/>
  <c r="M13" i="4" s="1"/>
  <c r="L14" i="4"/>
  <c r="M14" i="4" s="1"/>
  <c r="L15" i="4"/>
  <c r="M15" i="4" s="1"/>
  <c r="L16" i="4"/>
  <c r="L17" i="4"/>
  <c r="M17" i="4" s="1"/>
  <c r="L19" i="4"/>
  <c r="L20" i="4"/>
  <c r="M20" i="4" s="1"/>
  <c r="L21" i="4"/>
  <c r="M21" i="4" s="1"/>
  <c r="L22" i="4"/>
  <c r="M22" i="4" s="1"/>
  <c r="L23" i="4"/>
  <c r="M23" i="4" s="1"/>
  <c r="L24" i="4"/>
  <c r="L25" i="4"/>
  <c r="M25" i="4" s="1"/>
  <c r="L26" i="4"/>
  <c r="M26" i="4" s="1"/>
  <c r="L27" i="4"/>
  <c r="L28" i="4"/>
  <c r="M28" i="4" s="1"/>
  <c r="L29" i="4"/>
  <c r="M29" i="4" s="1"/>
  <c r="L30" i="4"/>
  <c r="M30" i="4" s="1"/>
  <c r="L31" i="4"/>
  <c r="M31" i="4" s="1"/>
  <c r="L32" i="4"/>
  <c r="L33" i="4"/>
  <c r="M33" i="4" s="1"/>
  <c r="L34" i="4"/>
  <c r="M34" i="4" s="1"/>
  <c r="L35" i="4"/>
  <c r="L36" i="4"/>
  <c r="M36" i="4" s="1"/>
  <c r="L37" i="4"/>
  <c r="M37" i="4" s="1"/>
  <c r="L38" i="4"/>
  <c r="M38" i="4" s="1"/>
  <c r="L39" i="4"/>
  <c r="M39" i="4" s="1"/>
  <c r="L40" i="4"/>
  <c r="L41" i="4"/>
  <c r="M41" i="4" s="1"/>
  <c r="L42" i="4"/>
  <c r="M42" i="4" s="1"/>
  <c r="L43" i="4"/>
  <c r="L44" i="4"/>
  <c r="M44" i="4" s="1"/>
  <c r="L45" i="4"/>
  <c r="M45" i="4" s="1"/>
  <c r="L46" i="4"/>
  <c r="M46" i="4" s="1"/>
  <c r="L47" i="4"/>
  <c r="M47" i="4" s="1"/>
  <c r="L48" i="4"/>
  <c r="L49" i="4"/>
  <c r="M49" i="4" s="1"/>
  <c r="L50" i="4"/>
  <c r="M50" i="4" s="1"/>
  <c r="L51" i="4"/>
  <c r="L52" i="4"/>
  <c r="M52" i="4" s="1"/>
  <c r="L53" i="4"/>
  <c r="M53" i="4" s="1"/>
  <c r="L54" i="4"/>
  <c r="M54" i="4" s="1"/>
  <c r="L55" i="4"/>
  <c r="M55" i="4" s="1"/>
  <c r="L56" i="4"/>
  <c r="L57" i="4"/>
  <c r="M57" i="4" s="1"/>
  <c r="L58" i="4"/>
  <c r="M58" i="4" s="1"/>
  <c r="L59" i="4"/>
  <c r="L60" i="4"/>
  <c r="M60" i="4" s="1"/>
  <c r="L61" i="4"/>
  <c r="M61" i="4" s="1"/>
  <c r="L62" i="4"/>
  <c r="M62" i="4" s="1"/>
  <c r="L63" i="4"/>
  <c r="M63" i="4" s="1"/>
  <c r="L64" i="4"/>
  <c r="L65" i="4"/>
  <c r="M65" i="4" s="1"/>
  <c r="L66" i="4"/>
  <c r="M66" i="4" s="1"/>
  <c r="L67" i="4"/>
  <c r="L68" i="4"/>
  <c r="M68" i="4" s="1"/>
  <c r="L69" i="4"/>
  <c r="M69" i="4" s="1"/>
  <c r="L70" i="4"/>
  <c r="M70" i="4" s="1"/>
  <c r="L71" i="4"/>
  <c r="M71" i="4" s="1"/>
  <c r="L72" i="4"/>
  <c r="L73" i="4"/>
  <c r="M73" i="4" s="1"/>
  <c r="L74" i="4"/>
  <c r="M74" i="4" s="1"/>
  <c r="L75" i="4"/>
  <c r="L76" i="4"/>
  <c r="M76" i="4" s="1"/>
  <c r="L77" i="4"/>
  <c r="M77" i="4" s="1"/>
  <c r="L78" i="4"/>
  <c r="M78" i="4" s="1"/>
  <c r="L79" i="4"/>
  <c r="M79" i="4" s="1"/>
  <c r="L80" i="4"/>
  <c r="L81" i="4"/>
  <c r="M81" i="4" s="1"/>
  <c r="L82" i="4"/>
  <c r="M82" i="4" s="1"/>
  <c r="L83" i="4"/>
  <c r="L84" i="4"/>
  <c r="M84" i="4" s="1"/>
  <c r="L85" i="4"/>
  <c r="M85" i="4" s="1"/>
  <c r="L86" i="4"/>
  <c r="M86" i="4" s="1"/>
  <c r="L87" i="4"/>
  <c r="M87" i="4" s="1"/>
  <c r="L88" i="4"/>
  <c r="L89" i="4"/>
  <c r="M89" i="4" s="1"/>
  <c r="L90" i="4"/>
  <c r="M90" i="4" s="1"/>
  <c r="L91" i="4"/>
  <c r="L92" i="4"/>
  <c r="M92" i="4" s="1"/>
  <c r="L93" i="4"/>
  <c r="M93" i="4" s="1"/>
  <c r="L94" i="4"/>
  <c r="M94" i="4" s="1"/>
  <c r="L95" i="4"/>
  <c r="M95" i="4" s="1"/>
  <c r="L96" i="4"/>
  <c r="L97" i="4"/>
  <c r="M97" i="4" s="1"/>
  <c r="L98" i="4"/>
  <c r="M98" i="4" s="1"/>
  <c r="L99" i="4"/>
  <c r="L100" i="4"/>
  <c r="M100" i="4" s="1"/>
  <c r="L101" i="4"/>
  <c r="M101" i="4" s="1"/>
  <c r="L102" i="4"/>
  <c r="M102" i="4" s="1"/>
  <c r="L103" i="4"/>
  <c r="M103" i="4" s="1"/>
  <c r="L104" i="4"/>
  <c r="L105" i="4"/>
  <c r="M105" i="4" s="1"/>
  <c r="L106" i="4"/>
  <c r="M106" i="4" s="1"/>
  <c r="L107" i="4"/>
  <c r="L108" i="4"/>
  <c r="M108" i="4" s="1"/>
  <c r="L109" i="4"/>
  <c r="M109" i="4" s="1"/>
  <c r="L110" i="4"/>
  <c r="M110" i="4" s="1"/>
  <c r="L111" i="4"/>
  <c r="M111" i="4" s="1"/>
  <c r="L112" i="4"/>
  <c r="L113" i="4"/>
  <c r="M113" i="4" s="1"/>
  <c r="L114" i="4"/>
  <c r="M114" i="4" s="1"/>
  <c r="L115" i="4"/>
  <c r="L116" i="4"/>
  <c r="M116" i="4" s="1"/>
  <c r="L117" i="4"/>
  <c r="M117" i="4" s="1"/>
  <c r="L118" i="4"/>
  <c r="M118" i="4" s="1"/>
  <c r="L119" i="4"/>
  <c r="M119" i="4" s="1"/>
  <c r="L120" i="4"/>
  <c r="L121" i="4"/>
  <c r="M121" i="4" s="1"/>
  <c r="L122" i="4"/>
  <c r="M122" i="4" s="1"/>
  <c r="L123" i="4"/>
  <c r="L124" i="4"/>
  <c r="M124" i="4" s="1"/>
  <c r="L125" i="4"/>
  <c r="M125" i="4" s="1"/>
  <c r="L126" i="4"/>
  <c r="M126" i="4" s="1"/>
  <c r="L127" i="4"/>
  <c r="M127" i="4" s="1"/>
  <c r="L128" i="4"/>
  <c r="L129" i="4"/>
  <c r="M129" i="4" s="1"/>
  <c r="L130" i="4"/>
  <c r="M130" i="4" s="1"/>
  <c r="L131" i="4"/>
  <c r="L132" i="4"/>
  <c r="M132" i="4" s="1"/>
  <c r="L133" i="4"/>
  <c r="M133" i="4" s="1"/>
  <c r="L134" i="4"/>
  <c r="M134" i="4" s="1"/>
  <c r="L135" i="4"/>
  <c r="M135" i="4" s="1"/>
  <c r="L136" i="4"/>
  <c r="L137" i="4"/>
  <c r="M137" i="4" s="1"/>
  <c r="L138" i="4"/>
  <c r="M138" i="4" s="1"/>
  <c r="L139" i="4"/>
  <c r="L140" i="4"/>
  <c r="M140" i="4" s="1"/>
  <c r="L141" i="4"/>
  <c r="M141" i="4" s="1"/>
  <c r="L142" i="4"/>
  <c r="M142" i="4" s="1"/>
  <c r="L143" i="4"/>
  <c r="M143" i="4" s="1"/>
  <c r="L144" i="4"/>
  <c r="L145" i="4"/>
  <c r="M145" i="4" s="1"/>
  <c r="L146" i="4"/>
  <c r="M146" i="4" s="1"/>
  <c r="L147" i="4"/>
  <c r="L148" i="4"/>
  <c r="M148" i="4" s="1"/>
  <c r="L149" i="4"/>
  <c r="M149" i="4" s="1"/>
  <c r="L150" i="4"/>
  <c r="M150" i="4" s="1"/>
  <c r="L151" i="4"/>
  <c r="M151" i="4" s="1"/>
  <c r="L152" i="4"/>
  <c r="L153" i="4"/>
  <c r="M153" i="4" s="1"/>
  <c r="L154" i="4"/>
  <c r="M154" i="4" s="1"/>
  <c r="L155" i="4"/>
  <c r="L156" i="4"/>
  <c r="M156" i="4" s="1"/>
  <c r="L157" i="4"/>
  <c r="M157" i="4" s="1"/>
  <c r="L158" i="4"/>
  <c r="M158" i="4" s="1"/>
  <c r="L159" i="4"/>
  <c r="M159" i="4" s="1"/>
  <c r="L160" i="4"/>
  <c r="L161" i="4"/>
  <c r="M161" i="4" s="1"/>
  <c r="L162" i="4"/>
  <c r="M162" i="4" s="1"/>
  <c r="L163" i="4"/>
  <c r="L164" i="4"/>
  <c r="M164" i="4" s="1"/>
  <c r="L165" i="4"/>
  <c r="M165" i="4" s="1"/>
  <c r="L166" i="4"/>
  <c r="M166" i="4" s="1"/>
  <c r="L167" i="4"/>
  <c r="M167" i="4" s="1"/>
  <c r="L168" i="4"/>
  <c r="L169" i="4"/>
  <c r="M169" i="4" s="1"/>
  <c r="L170" i="4"/>
  <c r="M170" i="4" s="1"/>
  <c r="L171" i="4"/>
  <c r="L172" i="4"/>
  <c r="M172" i="4" s="1"/>
  <c r="L173" i="4"/>
  <c r="M173" i="4" s="1"/>
  <c r="L174" i="4"/>
  <c r="M174" i="4" s="1"/>
  <c r="L175" i="4"/>
  <c r="M175" i="4" s="1"/>
  <c r="L176" i="4"/>
  <c r="L177" i="4"/>
  <c r="M177" i="4" s="1"/>
  <c r="L178" i="4"/>
  <c r="M178" i="4" s="1"/>
  <c r="L179" i="4"/>
  <c r="L180" i="4"/>
  <c r="M180" i="4" s="1"/>
  <c r="L181" i="4"/>
  <c r="M181" i="4" s="1"/>
  <c r="L182" i="4"/>
  <c r="M182" i="4" s="1"/>
  <c r="L183" i="4"/>
  <c r="M183" i="4" s="1"/>
  <c r="L184" i="4"/>
  <c r="L185" i="4"/>
  <c r="M185" i="4" s="1"/>
  <c r="L186" i="4"/>
  <c r="M186" i="4" s="1"/>
  <c r="L187" i="4"/>
  <c r="L188" i="4"/>
  <c r="M188" i="4" s="1"/>
  <c r="L189" i="4"/>
  <c r="M189" i="4" s="1"/>
  <c r="L190" i="4"/>
  <c r="M190" i="4" s="1"/>
  <c r="L191" i="4"/>
  <c r="M191" i="4" s="1"/>
  <c r="L192" i="4"/>
  <c r="L193" i="4"/>
  <c r="M193" i="4" s="1"/>
  <c r="L194" i="4"/>
  <c r="M194" i="4" s="1"/>
  <c r="L195" i="4"/>
  <c r="L196" i="4"/>
  <c r="M196" i="4" s="1"/>
  <c r="L197" i="4"/>
  <c r="M197" i="4" s="1"/>
  <c r="L198" i="4"/>
  <c r="M198" i="4" s="1"/>
  <c r="L199" i="4"/>
  <c r="M199" i="4" s="1"/>
  <c r="L200" i="4"/>
  <c r="L201" i="4"/>
  <c r="M201" i="4" s="1"/>
  <c r="L5" i="4"/>
  <c r="M5" i="4" s="1"/>
  <c r="N3" i="4" l="1"/>
  <c r="P3" i="4"/>
  <c r="O3" i="4"/>
  <c r="M11" i="4"/>
  <c r="P11" i="4" s="1"/>
  <c r="M195" i="4"/>
  <c r="N195" i="4" s="1"/>
  <c r="M187" i="4"/>
  <c r="P187" i="4" s="1"/>
  <c r="M179" i="4"/>
  <c r="P179" i="4" s="1"/>
  <c r="M171" i="4"/>
  <c r="P171" i="4" s="1"/>
  <c r="M163" i="4"/>
  <c r="O163" i="4" s="1"/>
  <c r="M155" i="4"/>
  <c r="P155" i="4" s="1"/>
  <c r="M147" i="4"/>
  <c r="O147" i="4" s="1"/>
  <c r="M139" i="4"/>
  <c r="P139" i="4" s="1"/>
  <c r="M131" i="4"/>
  <c r="N131" i="4" s="1"/>
  <c r="M123" i="4"/>
  <c r="P123" i="4" s="1"/>
  <c r="M115" i="4"/>
  <c r="P115" i="4" s="1"/>
  <c r="M107" i="4"/>
  <c r="P107" i="4" s="1"/>
  <c r="M99" i="4"/>
  <c r="O99" i="4" s="1"/>
  <c r="M91" i="4"/>
  <c r="O91" i="4" s="1"/>
  <c r="M83" i="4"/>
  <c r="P83" i="4" s="1"/>
  <c r="M75" i="4"/>
  <c r="N75" i="4" s="1"/>
  <c r="M67" i="4"/>
  <c r="O67" i="4" s="1"/>
  <c r="M59" i="4"/>
  <c r="P59" i="4" s="1"/>
  <c r="M51" i="4"/>
  <c r="P51" i="4" s="1"/>
  <c r="M43" i="4"/>
  <c r="P43" i="4" s="1"/>
  <c r="M35" i="4"/>
  <c r="O35" i="4" s="1"/>
  <c r="M27" i="4"/>
  <c r="O27" i="4" s="1"/>
  <c r="M19" i="4"/>
  <c r="P19" i="4" s="1"/>
  <c r="M10" i="4"/>
  <c r="P10" i="4" s="1"/>
  <c r="M16" i="4"/>
  <c r="P16" i="4" s="1"/>
  <c r="M8" i="4"/>
  <c r="N8" i="4" s="1"/>
  <c r="M200" i="4"/>
  <c r="P200" i="4" s="1"/>
  <c r="M192" i="4"/>
  <c r="O192" i="4" s="1"/>
  <c r="M184" i="4"/>
  <c r="O184" i="4" s="1"/>
  <c r="M168" i="4"/>
  <c r="O168" i="4" s="1"/>
  <c r="M160" i="4"/>
  <c r="O160" i="4" s="1"/>
  <c r="M152" i="4"/>
  <c r="O152" i="4" s="1"/>
  <c r="M144" i="4"/>
  <c r="P144" i="4" s="1"/>
  <c r="M136" i="4"/>
  <c r="O136" i="4" s="1"/>
  <c r="M128" i="4"/>
  <c r="P128" i="4" s="1"/>
  <c r="M120" i="4"/>
  <c r="P120" i="4" s="1"/>
  <c r="M112" i="4"/>
  <c r="P112" i="4" s="1"/>
  <c r="M104" i="4"/>
  <c r="O104" i="4" s="1"/>
  <c r="M96" i="4"/>
  <c r="P96" i="4" s="1"/>
  <c r="M88" i="4"/>
  <c r="O88" i="4" s="1"/>
  <c r="M80" i="4"/>
  <c r="P80" i="4" s="1"/>
  <c r="M72" i="4"/>
  <c r="O72" i="4" s="1"/>
  <c r="M64" i="4"/>
  <c r="O64" i="4" s="1"/>
  <c r="M56" i="4"/>
  <c r="P56" i="4" s="1"/>
  <c r="M48" i="4"/>
  <c r="P48" i="4" s="1"/>
  <c r="M40" i="4"/>
  <c r="P40" i="4" s="1"/>
  <c r="M32" i="4"/>
  <c r="O32" i="4" s="1"/>
  <c r="M24" i="4"/>
  <c r="P24" i="4" s="1"/>
  <c r="M176" i="4"/>
  <c r="O176" i="4" s="1"/>
  <c r="O180" i="4"/>
  <c r="P180" i="4"/>
  <c r="N180" i="4"/>
  <c r="O172" i="4"/>
  <c r="P172" i="4"/>
  <c r="N172" i="4"/>
  <c r="O148" i="4"/>
  <c r="P148" i="4"/>
  <c r="N148" i="4"/>
  <c r="O132" i="4"/>
  <c r="P132" i="4"/>
  <c r="N132" i="4"/>
  <c r="O116" i="4"/>
  <c r="P116" i="4"/>
  <c r="N116" i="4"/>
  <c r="O44" i="4"/>
  <c r="P44" i="4"/>
  <c r="N44" i="4"/>
  <c r="O36" i="4"/>
  <c r="P36" i="4"/>
  <c r="N36" i="4"/>
  <c r="O28" i="4"/>
  <c r="P28" i="4"/>
  <c r="N28" i="4"/>
  <c r="O20" i="4"/>
  <c r="P20" i="4"/>
  <c r="N20" i="4"/>
  <c r="P15" i="4"/>
  <c r="O15" i="4"/>
  <c r="N15" i="4"/>
  <c r="P7" i="4"/>
  <c r="O7" i="4"/>
  <c r="N7" i="4"/>
  <c r="P199" i="4"/>
  <c r="O199" i="4"/>
  <c r="N199" i="4"/>
  <c r="P191" i="4"/>
  <c r="O191" i="4"/>
  <c r="N191" i="4"/>
  <c r="P183" i="4"/>
  <c r="O183" i="4"/>
  <c r="N183" i="4"/>
  <c r="P175" i="4"/>
  <c r="O175" i="4"/>
  <c r="N175" i="4"/>
  <c r="P167" i="4"/>
  <c r="O167" i="4"/>
  <c r="N167" i="4"/>
  <c r="P159" i="4"/>
  <c r="O159" i="4"/>
  <c r="N159" i="4"/>
  <c r="P151" i="4"/>
  <c r="O151" i="4"/>
  <c r="N151" i="4"/>
  <c r="P143" i="4"/>
  <c r="O143" i="4"/>
  <c r="N143" i="4"/>
  <c r="P135" i="4"/>
  <c r="O135" i="4"/>
  <c r="N135" i="4"/>
  <c r="P127" i="4"/>
  <c r="O127" i="4"/>
  <c r="N127" i="4"/>
  <c r="P119" i="4"/>
  <c r="O119" i="4"/>
  <c r="N119" i="4"/>
  <c r="P111" i="4"/>
  <c r="O111" i="4"/>
  <c r="N111" i="4"/>
  <c r="P103" i="4"/>
  <c r="O103" i="4"/>
  <c r="N103" i="4"/>
  <c r="P95" i="4"/>
  <c r="O95" i="4"/>
  <c r="N95" i="4"/>
  <c r="P87" i="4"/>
  <c r="O87" i="4"/>
  <c r="N87" i="4"/>
  <c r="P79" i="4"/>
  <c r="O79" i="4"/>
  <c r="N79" i="4"/>
  <c r="P71" i="4"/>
  <c r="O71" i="4"/>
  <c r="N71" i="4"/>
  <c r="P63" i="4"/>
  <c r="O63" i="4"/>
  <c r="N63" i="4"/>
  <c r="P55" i="4"/>
  <c r="O55" i="4"/>
  <c r="N55" i="4"/>
  <c r="P47" i="4"/>
  <c r="O47" i="4"/>
  <c r="N47" i="4"/>
  <c r="P39" i="4"/>
  <c r="O39" i="4"/>
  <c r="N39" i="4"/>
  <c r="P31" i="4"/>
  <c r="O31" i="4"/>
  <c r="N31" i="4"/>
  <c r="P23" i="4"/>
  <c r="O23" i="4"/>
  <c r="N23" i="4"/>
  <c r="P14" i="4"/>
  <c r="N14" i="4"/>
  <c r="O14" i="4"/>
  <c r="P6" i="4"/>
  <c r="N6" i="4"/>
  <c r="O6" i="4"/>
  <c r="O188" i="4"/>
  <c r="N188" i="4"/>
  <c r="P188" i="4"/>
  <c r="O164" i="4"/>
  <c r="P164" i="4"/>
  <c r="N164" i="4"/>
  <c r="O124" i="4"/>
  <c r="P124" i="4"/>
  <c r="N124" i="4"/>
  <c r="O92" i="4"/>
  <c r="P92" i="4"/>
  <c r="N92" i="4"/>
  <c r="O84" i="4"/>
  <c r="P84" i="4"/>
  <c r="N84" i="4"/>
  <c r="O76" i="4"/>
  <c r="P76" i="4"/>
  <c r="N76" i="4"/>
  <c r="O68" i="4"/>
  <c r="P68" i="4"/>
  <c r="N68" i="4"/>
  <c r="O60" i="4"/>
  <c r="P60" i="4"/>
  <c r="N60" i="4"/>
  <c r="O52" i="4"/>
  <c r="P52" i="4"/>
  <c r="N52" i="4"/>
  <c r="P198" i="4"/>
  <c r="O198" i="4"/>
  <c r="N198" i="4"/>
  <c r="P190" i="4"/>
  <c r="O190" i="4"/>
  <c r="N190" i="4"/>
  <c r="P182" i="4"/>
  <c r="O182" i="4"/>
  <c r="N182" i="4"/>
  <c r="P174" i="4"/>
  <c r="O174" i="4"/>
  <c r="N174" i="4"/>
  <c r="P166" i="4"/>
  <c r="O166" i="4"/>
  <c r="N166" i="4"/>
  <c r="P158" i="4"/>
  <c r="O158" i="4"/>
  <c r="N158" i="4"/>
  <c r="P150" i="4"/>
  <c r="N150" i="4"/>
  <c r="O150" i="4"/>
  <c r="P146" i="4"/>
  <c r="N146" i="4"/>
  <c r="O146" i="4"/>
  <c r="P142" i="4"/>
  <c r="N142" i="4"/>
  <c r="O142" i="4"/>
  <c r="P138" i="4"/>
  <c r="N138" i="4"/>
  <c r="O138" i="4"/>
  <c r="P134" i="4"/>
  <c r="N134" i="4"/>
  <c r="O134" i="4"/>
  <c r="P130" i="4"/>
  <c r="N130" i="4"/>
  <c r="O130" i="4"/>
  <c r="P126" i="4"/>
  <c r="N126" i="4"/>
  <c r="O126" i="4"/>
  <c r="P122" i="4"/>
  <c r="N122" i="4"/>
  <c r="O122" i="4"/>
  <c r="P118" i="4"/>
  <c r="N118" i="4"/>
  <c r="O118" i="4"/>
  <c r="P114" i="4"/>
  <c r="N114" i="4"/>
  <c r="O114" i="4"/>
  <c r="P110" i="4"/>
  <c r="N110" i="4"/>
  <c r="O110" i="4"/>
  <c r="P106" i="4"/>
  <c r="N106" i="4"/>
  <c r="O106" i="4"/>
  <c r="P102" i="4"/>
  <c r="N102" i="4"/>
  <c r="O102" i="4"/>
  <c r="P98" i="4"/>
  <c r="N98" i="4"/>
  <c r="O98" i="4"/>
  <c r="P94" i="4"/>
  <c r="N94" i="4"/>
  <c r="O94" i="4"/>
  <c r="P90" i="4"/>
  <c r="N90" i="4"/>
  <c r="O90" i="4"/>
  <c r="P86" i="4"/>
  <c r="N86" i="4"/>
  <c r="O86" i="4"/>
  <c r="P82" i="4"/>
  <c r="N82" i="4"/>
  <c r="O82" i="4"/>
  <c r="P78" i="4"/>
  <c r="N78" i="4"/>
  <c r="O78" i="4"/>
  <c r="P74" i="4"/>
  <c r="N74" i="4"/>
  <c r="O74" i="4"/>
  <c r="P70" i="4"/>
  <c r="N70" i="4"/>
  <c r="O70" i="4"/>
  <c r="P66" i="4"/>
  <c r="N66" i="4"/>
  <c r="O66" i="4"/>
  <c r="P62" i="4"/>
  <c r="N62" i="4"/>
  <c r="O62" i="4"/>
  <c r="P58" i="4"/>
  <c r="N58" i="4"/>
  <c r="O58" i="4"/>
  <c r="P54" i="4"/>
  <c r="N54" i="4"/>
  <c r="O54" i="4"/>
  <c r="P50" i="4"/>
  <c r="N50" i="4"/>
  <c r="O50" i="4"/>
  <c r="P46" i="4"/>
  <c r="N46" i="4"/>
  <c r="O46" i="4"/>
  <c r="P42" i="4"/>
  <c r="N42" i="4"/>
  <c r="O42" i="4"/>
  <c r="P38" i="4"/>
  <c r="N38" i="4"/>
  <c r="O38" i="4"/>
  <c r="P34" i="4"/>
  <c r="N34" i="4"/>
  <c r="O34" i="4"/>
  <c r="P30" i="4"/>
  <c r="N30" i="4"/>
  <c r="O30" i="4"/>
  <c r="P26" i="4"/>
  <c r="N26" i="4"/>
  <c r="O26" i="4"/>
  <c r="P22" i="4"/>
  <c r="N22" i="4"/>
  <c r="O22" i="4"/>
  <c r="P17" i="4"/>
  <c r="O17" i="4"/>
  <c r="N17" i="4"/>
  <c r="P13" i="4"/>
  <c r="O13" i="4"/>
  <c r="N13" i="4"/>
  <c r="P9" i="4"/>
  <c r="O9" i="4"/>
  <c r="N9" i="4"/>
  <c r="P18" i="4"/>
  <c r="N18" i="4"/>
  <c r="O18" i="4"/>
  <c r="O196" i="4"/>
  <c r="P196" i="4"/>
  <c r="N196" i="4"/>
  <c r="P156" i="4"/>
  <c r="O156" i="4"/>
  <c r="N156" i="4"/>
  <c r="O140" i="4"/>
  <c r="P140" i="4"/>
  <c r="N140" i="4"/>
  <c r="O108" i="4"/>
  <c r="P108" i="4"/>
  <c r="N108" i="4"/>
  <c r="O100" i="4"/>
  <c r="P100" i="4"/>
  <c r="N100" i="4"/>
  <c r="P5" i="4"/>
  <c r="O5" i="4"/>
  <c r="N5" i="4"/>
  <c r="P194" i="4"/>
  <c r="O194" i="4"/>
  <c r="N194" i="4"/>
  <c r="P186" i="4"/>
  <c r="O186" i="4"/>
  <c r="N186" i="4"/>
  <c r="P178" i="4"/>
  <c r="O178" i="4"/>
  <c r="N178" i="4"/>
  <c r="P170" i="4"/>
  <c r="O170" i="4"/>
  <c r="N170" i="4"/>
  <c r="P162" i="4"/>
  <c r="O162" i="4"/>
  <c r="N162" i="4"/>
  <c r="P154" i="4"/>
  <c r="N154" i="4"/>
  <c r="O154" i="4"/>
  <c r="P201" i="4"/>
  <c r="O201" i="4"/>
  <c r="N201" i="4"/>
  <c r="P197" i="4"/>
  <c r="O197" i="4"/>
  <c r="N197" i="4"/>
  <c r="P193" i="4"/>
  <c r="O193" i="4"/>
  <c r="N193" i="4"/>
  <c r="P189" i="4"/>
  <c r="O189" i="4"/>
  <c r="N189" i="4"/>
  <c r="P185" i="4"/>
  <c r="O185" i="4"/>
  <c r="N185" i="4"/>
  <c r="P181" i="4"/>
  <c r="O181" i="4"/>
  <c r="N181" i="4"/>
  <c r="O177" i="4"/>
  <c r="P177" i="4"/>
  <c r="N177" i="4"/>
  <c r="P173" i="4"/>
  <c r="O173" i="4"/>
  <c r="N173" i="4"/>
  <c r="P169" i="4"/>
  <c r="O169" i="4"/>
  <c r="N169" i="4"/>
  <c r="P165" i="4"/>
  <c r="O165" i="4"/>
  <c r="N165" i="4"/>
  <c r="P161" i="4"/>
  <c r="O161" i="4"/>
  <c r="N161" i="4"/>
  <c r="P157" i="4"/>
  <c r="O157" i="4"/>
  <c r="N157" i="4"/>
  <c r="P153" i="4"/>
  <c r="O153" i="4"/>
  <c r="N153" i="4"/>
  <c r="P149" i="4"/>
  <c r="O149" i="4"/>
  <c r="N149" i="4"/>
  <c r="P145" i="4"/>
  <c r="O145" i="4"/>
  <c r="N145" i="4"/>
  <c r="P141" i="4"/>
  <c r="O141" i="4"/>
  <c r="N141" i="4"/>
  <c r="P137" i="4"/>
  <c r="O137" i="4"/>
  <c r="N137" i="4"/>
  <c r="P133" i="4"/>
  <c r="O133" i="4"/>
  <c r="N133" i="4"/>
  <c r="P129" i="4"/>
  <c r="O129" i="4"/>
  <c r="N129" i="4"/>
  <c r="P125" i="4"/>
  <c r="O125" i="4"/>
  <c r="N125" i="4"/>
  <c r="P121" i="4"/>
  <c r="O121" i="4"/>
  <c r="N121" i="4"/>
  <c r="P117" i="4"/>
  <c r="O117" i="4"/>
  <c r="N117" i="4"/>
  <c r="P113" i="4"/>
  <c r="O113" i="4"/>
  <c r="N113" i="4"/>
  <c r="P109" i="4"/>
  <c r="O109" i="4"/>
  <c r="N109" i="4"/>
  <c r="P105" i="4"/>
  <c r="O105" i="4"/>
  <c r="N105" i="4"/>
  <c r="P101" i="4"/>
  <c r="O101" i="4"/>
  <c r="N101" i="4"/>
  <c r="P97" i="4"/>
  <c r="O97" i="4"/>
  <c r="N97" i="4"/>
  <c r="P93" i="4"/>
  <c r="O93" i="4"/>
  <c r="N93" i="4"/>
  <c r="P89" i="4"/>
  <c r="O89" i="4"/>
  <c r="N89" i="4"/>
  <c r="P85" i="4"/>
  <c r="O85" i="4"/>
  <c r="N85" i="4"/>
  <c r="P81" i="4"/>
  <c r="O81" i="4"/>
  <c r="N81" i="4"/>
  <c r="P77" i="4"/>
  <c r="O77" i="4"/>
  <c r="N77" i="4"/>
  <c r="P73" i="4"/>
  <c r="O73" i="4"/>
  <c r="N73" i="4"/>
  <c r="P69" i="4"/>
  <c r="O69" i="4"/>
  <c r="N69" i="4"/>
  <c r="P65" i="4"/>
  <c r="O65" i="4"/>
  <c r="N65" i="4"/>
  <c r="P61" i="4"/>
  <c r="O61" i="4"/>
  <c r="N61" i="4"/>
  <c r="P57" i="4"/>
  <c r="O57" i="4"/>
  <c r="N57" i="4"/>
  <c r="P53" i="4"/>
  <c r="O53" i="4"/>
  <c r="N53" i="4"/>
  <c r="P49" i="4"/>
  <c r="O49" i="4"/>
  <c r="N49" i="4"/>
  <c r="P45" i="4"/>
  <c r="O45" i="4"/>
  <c r="N45" i="4"/>
  <c r="P41" i="4"/>
  <c r="O41" i="4"/>
  <c r="N41" i="4"/>
  <c r="P37" i="4"/>
  <c r="O37" i="4"/>
  <c r="N37" i="4"/>
  <c r="P33" i="4"/>
  <c r="O33" i="4"/>
  <c r="N33" i="4"/>
  <c r="P29" i="4"/>
  <c r="O29" i="4"/>
  <c r="N29" i="4"/>
  <c r="P25" i="4"/>
  <c r="O25" i="4"/>
  <c r="N25" i="4"/>
  <c r="P21" i="4"/>
  <c r="O21" i="4"/>
  <c r="N21" i="4"/>
  <c r="O12" i="4"/>
  <c r="P12" i="4"/>
  <c r="N12" i="4"/>
  <c r="O4" i="4"/>
  <c r="P4" i="4"/>
  <c r="N4" i="4"/>
  <c r="O155" i="4" l="1"/>
  <c r="O128" i="4"/>
  <c r="O115" i="4"/>
  <c r="N72" i="4"/>
  <c r="N200" i="4"/>
  <c r="N155" i="4"/>
  <c r="N51" i="4"/>
  <c r="N179" i="4"/>
  <c r="O51" i="4"/>
  <c r="O179" i="4"/>
  <c r="N128" i="4"/>
  <c r="O16" i="4"/>
  <c r="O80" i="4"/>
  <c r="N115" i="4"/>
  <c r="P64" i="4"/>
  <c r="N144" i="4"/>
  <c r="O200" i="4"/>
  <c r="P91" i="4"/>
  <c r="P27" i="4"/>
  <c r="N40" i="4"/>
  <c r="P168" i="4"/>
  <c r="N168" i="4"/>
  <c r="N91" i="4"/>
  <c r="P8" i="4"/>
  <c r="O8" i="4"/>
  <c r="N59" i="4"/>
  <c r="P136" i="4"/>
  <c r="O59" i="4"/>
  <c r="N123" i="4"/>
  <c r="N187" i="4"/>
  <c r="O123" i="4"/>
  <c r="O187" i="4"/>
  <c r="N136" i="4"/>
  <c r="P72" i="4"/>
  <c r="O40" i="4"/>
  <c r="N104" i="4"/>
  <c r="P104" i="4"/>
  <c r="N27" i="4"/>
  <c r="P67" i="4"/>
  <c r="O75" i="4"/>
  <c r="P75" i="4"/>
  <c r="N88" i="4"/>
  <c r="P147" i="4"/>
  <c r="N64" i="4"/>
  <c r="O10" i="4"/>
  <c r="N11" i="4"/>
  <c r="N152" i="4"/>
  <c r="N10" i="4"/>
  <c r="N139" i="4"/>
  <c r="O11" i="4"/>
  <c r="O24" i="4"/>
  <c r="P88" i="4"/>
  <c r="P152" i="4"/>
  <c r="O139" i="4"/>
  <c r="N80" i="4"/>
  <c r="N67" i="4"/>
  <c r="O131" i="4"/>
  <c r="O195" i="4"/>
  <c r="P131" i="4"/>
  <c r="P195" i="4"/>
  <c r="N16" i="4"/>
  <c r="O144" i="4"/>
  <c r="N176" i="4"/>
  <c r="P176" i="4"/>
  <c r="O96" i="4"/>
  <c r="O120" i="4"/>
  <c r="N192" i="4"/>
  <c r="N19" i="4"/>
  <c r="N32" i="4"/>
  <c r="N160" i="4"/>
  <c r="O19" i="4"/>
  <c r="P32" i="4"/>
  <c r="P160" i="4"/>
  <c r="N83" i="4"/>
  <c r="P192" i="4"/>
  <c r="O83" i="4"/>
  <c r="N147" i="4"/>
  <c r="N96" i="4"/>
  <c r="O56" i="4"/>
  <c r="N120" i="4"/>
  <c r="P184" i="4"/>
  <c r="O112" i="4"/>
  <c r="P35" i="4"/>
  <c r="P99" i="4"/>
  <c r="P163" i="4"/>
  <c r="N24" i="4"/>
  <c r="N184" i="4"/>
  <c r="N43" i="4"/>
  <c r="N107" i="4"/>
  <c r="N171" i="4"/>
  <c r="O48" i="4"/>
  <c r="N48" i="4"/>
  <c r="O43" i="4"/>
  <c r="O107" i="4"/>
  <c r="O171" i="4"/>
  <c r="N56" i="4"/>
  <c r="N112" i="4"/>
  <c r="N35" i="4"/>
  <c r="N99" i="4"/>
  <c r="N163" i="4"/>
  <c r="W7" i="1"/>
  <c r="W9" i="1"/>
  <c r="W11" i="1"/>
  <c r="W13" i="1"/>
  <c r="W15" i="1"/>
  <c r="K33" i="1"/>
  <c r="K31" i="1"/>
  <c r="K25" i="1"/>
  <c r="K23" i="1"/>
  <c r="K17" i="1"/>
  <c r="K15" i="1"/>
  <c r="K9" i="1"/>
  <c r="K7" i="1"/>
  <c r="AT5" i="1"/>
  <c r="I13" i="4" l="1"/>
  <c r="I20" i="4" s="1"/>
  <c r="H13" i="4"/>
  <c r="H20" i="4" s="1"/>
  <c r="J13" i="4"/>
  <c r="J20" i="4" s="1"/>
  <c r="P9" i="1"/>
  <c r="U9" i="1" s="1"/>
  <c r="P13" i="1"/>
  <c r="U13" i="1" s="1"/>
  <c r="P17" i="1"/>
  <c r="U17" i="1" s="1"/>
  <c r="P21" i="1"/>
  <c r="U21" i="1" s="1"/>
  <c r="P25" i="1"/>
  <c r="U25" i="1" s="1"/>
  <c r="P29" i="1"/>
  <c r="U29" i="1" s="1"/>
  <c r="P33" i="1"/>
  <c r="U33" i="1" s="1"/>
  <c r="P37" i="1"/>
  <c r="U37" i="1" s="1"/>
  <c r="P41" i="1"/>
  <c r="U41" i="1" s="1"/>
  <c r="P45" i="1"/>
  <c r="U45" i="1" s="1"/>
  <c r="P49" i="1"/>
  <c r="U49" i="1" s="1"/>
  <c r="P53" i="1"/>
  <c r="U53" i="1" s="1"/>
  <c r="P57" i="1"/>
  <c r="U57" i="1" s="1"/>
  <c r="P61" i="1"/>
  <c r="U61" i="1" s="1"/>
  <c r="P65" i="1"/>
  <c r="U65" i="1" s="1"/>
  <c r="P69" i="1"/>
  <c r="U69" i="1" s="1"/>
  <c r="P73" i="1"/>
  <c r="U73" i="1" s="1"/>
  <c r="P77" i="1"/>
  <c r="U77" i="1" s="1"/>
  <c r="P81" i="1"/>
  <c r="U81" i="1" s="1"/>
  <c r="P85" i="1"/>
  <c r="U85" i="1" s="1"/>
  <c r="P89" i="1"/>
  <c r="U89" i="1" s="1"/>
  <c r="P93" i="1"/>
  <c r="U93" i="1" s="1"/>
  <c r="P97" i="1"/>
  <c r="U97" i="1" s="1"/>
  <c r="P101" i="1"/>
  <c r="U101" i="1" s="1"/>
  <c r="P105" i="1"/>
  <c r="U105" i="1" s="1"/>
  <c r="P109" i="1"/>
  <c r="U109" i="1" s="1"/>
  <c r="P113" i="1"/>
  <c r="U113" i="1" s="1"/>
  <c r="P117" i="1"/>
  <c r="U117" i="1" s="1"/>
  <c r="P121" i="1"/>
  <c r="U121" i="1" s="1"/>
  <c r="P125" i="1"/>
  <c r="U125" i="1" s="1"/>
  <c r="P129" i="1"/>
  <c r="U129" i="1" s="1"/>
  <c r="P133" i="1"/>
  <c r="U133" i="1" s="1"/>
  <c r="P137" i="1"/>
  <c r="U137" i="1" s="1"/>
  <c r="P141" i="1"/>
  <c r="U141" i="1" s="1"/>
  <c r="P6" i="1"/>
  <c r="U6" i="1" s="1"/>
  <c r="P10" i="1"/>
  <c r="U10" i="1" s="1"/>
  <c r="P14" i="1"/>
  <c r="U14" i="1" s="1"/>
  <c r="P18" i="1"/>
  <c r="U18" i="1" s="1"/>
  <c r="P22" i="1"/>
  <c r="U22" i="1" s="1"/>
  <c r="P26" i="1"/>
  <c r="U26" i="1" s="1"/>
  <c r="P30" i="1"/>
  <c r="U30" i="1" s="1"/>
  <c r="P34" i="1"/>
  <c r="U34" i="1" s="1"/>
  <c r="P38" i="1"/>
  <c r="U38" i="1" s="1"/>
  <c r="P42" i="1"/>
  <c r="U42" i="1" s="1"/>
  <c r="P46" i="1"/>
  <c r="U46" i="1" s="1"/>
  <c r="P50" i="1"/>
  <c r="U50" i="1" s="1"/>
  <c r="P54" i="1"/>
  <c r="U54" i="1" s="1"/>
  <c r="P58" i="1"/>
  <c r="U58" i="1" s="1"/>
  <c r="P62" i="1"/>
  <c r="U62" i="1" s="1"/>
  <c r="P66" i="1"/>
  <c r="U66" i="1" s="1"/>
  <c r="P70" i="1"/>
  <c r="U70" i="1" s="1"/>
  <c r="P74" i="1"/>
  <c r="U74" i="1" s="1"/>
  <c r="P78" i="1"/>
  <c r="U78" i="1" s="1"/>
  <c r="P82" i="1"/>
  <c r="U82" i="1" s="1"/>
  <c r="P86" i="1"/>
  <c r="U86" i="1" s="1"/>
  <c r="P90" i="1"/>
  <c r="U90" i="1" s="1"/>
  <c r="P7" i="1"/>
  <c r="U7" i="1" s="1"/>
  <c r="P11" i="1"/>
  <c r="U11" i="1" s="1"/>
  <c r="P15" i="1"/>
  <c r="U15" i="1" s="1"/>
  <c r="P19" i="1"/>
  <c r="U19" i="1" s="1"/>
  <c r="P23" i="1"/>
  <c r="U23" i="1" s="1"/>
  <c r="P27" i="1"/>
  <c r="U27" i="1" s="1"/>
  <c r="P31" i="1"/>
  <c r="U31" i="1" s="1"/>
  <c r="P35" i="1"/>
  <c r="U35" i="1" s="1"/>
  <c r="P39" i="1"/>
  <c r="U39" i="1" s="1"/>
  <c r="P43" i="1"/>
  <c r="U43" i="1" s="1"/>
  <c r="P47" i="1"/>
  <c r="U47" i="1" s="1"/>
  <c r="P51" i="1"/>
  <c r="U51" i="1" s="1"/>
  <c r="P55" i="1"/>
  <c r="U55" i="1" s="1"/>
  <c r="P59" i="1"/>
  <c r="U59" i="1" s="1"/>
  <c r="P63" i="1"/>
  <c r="U63" i="1" s="1"/>
  <c r="P67" i="1"/>
  <c r="U67" i="1" s="1"/>
  <c r="P71" i="1"/>
  <c r="U71" i="1" s="1"/>
  <c r="P75" i="1"/>
  <c r="U75" i="1" s="1"/>
  <c r="P79" i="1"/>
  <c r="U79" i="1" s="1"/>
  <c r="P83" i="1"/>
  <c r="U83" i="1" s="1"/>
  <c r="P87" i="1"/>
  <c r="U87" i="1" s="1"/>
  <c r="P91" i="1"/>
  <c r="U91" i="1" s="1"/>
  <c r="P20" i="1"/>
  <c r="U20" i="1" s="1"/>
  <c r="P36" i="1"/>
  <c r="U36" i="1" s="1"/>
  <c r="P52" i="1"/>
  <c r="U52" i="1" s="1"/>
  <c r="P68" i="1"/>
  <c r="U68" i="1" s="1"/>
  <c r="P84" i="1"/>
  <c r="U84" i="1" s="1"/>
  <c r="P95" i="1"/>
  <c r="U95" i="1" s="1"/>
  <c r="P100" i="1"/>
  <c r="U100" i="1" s="1"/>
  <c r="P106" i="1"/>
  <c r="U106" i="1" s="1"/>
  <c r="P111" i="1"/>
  <c r="U111" i="1" s="1"/>
  <c r="P116" i="1"/>
  <c r="U116" i="1" s="1"/>
  <c r="P122" i="1"/>
  <c r="U122" i="1" s="1"/>
  <c r="P127" i="1"/>
  <c r="U127" i="1" s="1"/>
  <c r="P132" i="1"/>
  <c r="U132" i="1" s="1"/>
  <c r="P138" i="1"/>
  <c r="U138" i="1" s="1"/>
  <c r="P143" i="1"/>
  <c r="U143" i="1" s="1"/>
  <c r="P147" i="1"/>
  <c r="U147" i="1" s="1"/>
  <c r="P151" i="1"/>
  <c r="U151" i="1" s="1"/>
  <c r="P155" i="1"/>
  <c r="U155" i="1" s="1"/>
  <c r="P159" i="1"/>
  <c r="U159" i="1" s="1"/>
  <c r="P163" i="1"/>
  <c r="U163" i="1" s="1"/>
  <c r="P167" i="1"/>
  <c r="U167" i="1" s="1"/>
  <c r="P171" i="1"/>
  <c r="U171" i="1" s="1"/>
  <c r="P175" i="1"/>
  <c r="U175" i="1" s="1"/>
  <c r="P179" i="1"/>
  <c r="U179" i="1" s="1"/>
  <c r="P183" i="1"/>
  <c r="U183" i="1" s="1"/>
  <c r="P187" i="1"/>
  <c r="U187" i="1" s="1"/>
  <c r="P191" i="1"/>
  <c r="U191" i="1" s="1"/>
  <c r="P195" i="1"/>
  <c r="U195" i="1" s="1"/>
  <c r="P199" i="1"/>
  <c r="U199" i="1" s="1"/>
  <c r="P203" i="1"/>
  <c r="U203" i="1" s="1"/>
  <c r="P207" i="1"/>
  <c r="U207" i="1" s="1"/>
  <c r="P8" i="1"/>
  <c r="U8" i="1" s="1"/>
  <c r="P40" i="1"/>
  <c r="U40" i="1" s="1"/>
  <c r="P56" i="1"/>
  <c r="U56" i="1" s="1"/>
  <c r="P72" i="1"/>
  <c r="U72" i="1" s="1"/>
  <c r="P88" i="1"/>
  <c r="U88" i="1" s="1"/>
  <c r="P102" i="1"/>
  <c r="U102" i="1" s="1"/>
  <c r="P107" i="1"/>
  <c r="U107" i="1" s="1"/>
  <c r="P112" i="1"/>
  <c r="U112" i="1" s="1"/>
  <c r="P118" i="1"/>
  <c r="U118" i="1" s="1"/>
  <c r="P128" i="1"/>
  <c r="U128" i="1" s="1"/>
  <c r="P134" i="1"/>
  <c r="U134" i="1" s="1"/>
  <c r="P139" i="1"/>
  <c r="U139" i="1" s="1"/>
  <c r="P144" i="1"/>
  <c r="U144" i="1" s="1"/>
  <c r="P24" i="1"/>
  <c r="U24" i="1" s="1"/>
  <c r="P96" i="1"/>
  <c r="U96" i="1" s="1"/>
  <c r="P123" i="1"/>
  <c r="U123" i="1" s="1"/>
  <c r="P12" i="1"/>
  <c r="U12" i="1" s="1"/>
  <c r="P28" i="1"/>
  <c r="U28" i="1" s="1"/>
  <c r="P44" i="1"/>
  <c r="U44" i="1" s="1"/>
  <c r="P60" i="1"/>
  <c r="U60" i="1" s="1"/>
  <c r="P76" i="1"/>
  <c r="U76" i="1" s="1"/>
  <c r="P92" i="1"/>
  <c r="U92" i="1" s="1"/>
  <c r="P98" i="1"/>
  <c r="U98" i="1" s="1"/>
  <c r="P103" i="1"/>
  <c r="U103" i="1" s="1"/>
  <c r="P108" i="1"/>
  <c r="U108" i="1" s="1"/>
  <c r="P114" i="1"/>
  <c r="U114" i="1" s="1"/>
  <c r="P119" i="1"/>
  <c r="U119" i="1" s="1"/>
  <c r="P124" i="1"/>
  <c r="U124" i="1" s="1"/>
  <c r="P130" i="1"/>
  <c r="U130" i="1" s="1"/>
  <c r="P135" i="1"/>
  <c r="U135" i="1" s="1"/>
  <c r="P140" i="1"/>
  <c r="U140" i="1" s="1"/>
  <c r="P145" i="1"/>
  <c r="U145" i="1" s="1"/>
  <c r="P149" i="1"/>
  <c r="U149" i="1" s="1"/>
  <c r="P153" i="1"/>
  <c r="U153" i="1" s="1"/>
  <c r="P157" i="1"/>
  <c r="U157" i="1" s="1"/>
  <c r="P161" i="1"/>
  <c r="U161" i="1" s="1"/>
  <c r="P165" i="1"/>
  <c r="U165" i="1" s="1"/>
  <c r="P169" i="1"/>
  <c r="U169" i="1" s="1"/>
  <c r="P173" i="1"/>
  <c r="U173" i="1" s="1"/>
  <c r="P177" i="1"/>
  <c r="U177" i="1" s="1"/>
  <c r="P181" i="1"/>
  <c r="U181" i="1" s="1"/>
  <c r="P185" i="1"/>
  <c r="U185" i="1" s="1"/>
  <c r="P189" i="1"/>
  <c r="U189" i="1" s="1"/>
  <c r="P193" i="1"/>
  <c r="U193" i="1" s="1"/>
  <c r="P197" i="1"/>
  <c r="U197" i="1" s="1"/>
  <c r="P201" i="1"/>
  <c r="U201" i="1" s="1"/>
  <c r="P205" i="1"/>
  <c r="U205" i="1" s="1"/>
  <c r="P5" i="1"/>
  <c r="U5" i="1" s="1"/>
  <c r="P16" i="1"/>
  <c r="U16" i="1" s="1"/>
  <c r="P32" i="1"/>
  <c r="U32" i="1" s="1"/>
  <c r="P48" i="1"/>
  <c r="U48" i="1" s="1"/>
  <c r="P64" i="1"/>
  <c r="U64" i="1" s="1"/>
  <c r="P80" i="1"/>
  <c r="U80" i="1" s="1"/>
  <c r="P94" i="1"/>
  <c r="U94" i="1" s="1"/>
  <c r="P99" i="1"/>
  <c r="U99" i="1" s="1"/>
  <c r="P104" i="1"/>
  <c r="U104" i="1" s="1"/>
  <c r="P110" i="1"/>
  <c r="U110" i="1" s="1"/>
  <c r="P115" i="1"/>
  <c r="U115" i="1" s="1"/>
  <c r="P120" i="1"/>
  <c r="U120" i="1" s="1"/>
  <c r="P126" i="1"/>
  <c r="U126" i="1" s="1"/>
  <c r="P131" i="1"/>
  <c r="U131" i="1" s="1"/>
  <c r="P136" i="1"/>
  <c r="U136" i="1" s="1"/>
  <c r="P142" i="1"/>
  <c r="U142" i="1" s="1"/>
  <c r="P146" i="1"/>
  <c r="U146" i="1" s="1"/>
  <c r="P150" i="1"/>
  <c r="U150" i="1" s="1"/>
  <c r="P154" i="1"/>
  <c r="U154" i="1" s="1"/>
  <c r="P158" i="1"/>
  <c r="U158" i="1" s="1"/>
  <c r="P162" i="1"/>
  <c r="U162" i="1" s="1"/>
  <c r="P166" i="1"/>
  <c r="U166" i="1" s="1"/>
  <c r="P170" i="1"/>
  <c r="U170" i="1" s="1"/>
  <c r="P174" i="1"/>
  <c r="U174" i="1" s="1"/>
  <c r="P178" i="1"/>
  <c r="U178" i="1" s="1"/>
  <c r="P182" i="1"/>
  <c r="U182" i="1" s="1"/>
  <c r="P186" i="1"/>
  <c r="U186" i="1" s="1"/>
  <c r="P190" i="1"/>
  <c r="U190" i="1" s="1"/>
  <c r="P156" i="1"/>
  <c r="U156" i="1" s="1"/>
  <c r="P172" i="1"/>
  <c r="U172" i="1" s="1"/>
  <c r="P188" i="1"/>
  <c r="U188" i="1" s="1"/>
  <c r="P198" i="1"/>
  <c r="U198" i="1" s="1"/>
  <c r="P206" i="1"/>
  <c r="U206" i="1" s="1"/>
  <c r="P168" i="1"/>
  <c r="U168" i="1" s="1"/>
  <c r="P196" i="1"/>
  <c r="U196" i="1" s="1"/>
  <c r="P160" i="1"/>
  <c r="U160" i="1" s="1"/>
  <c r="P176" i="1"/>
  <c r="U176" i="1" s="1"/>
  <c r="P192" i="1"/>
  <c r="U192" i="1" s="1"/>
  <c r="P200" i="1"/>
  <c r="U200" i="1" s="1"/>
  <c r="P208" i="1"/>
  <c r="U208" i="1" s="1"/>
  <c r="P152" i="1"/>
  <c r="U152" i="1" s="1"/>
  <c r="P184" i="1"/>
  <c r="U184" i="1" s="1"/>
  <c r="P204" i="1"/>
  <c r="U204" i="1" s="1"/>
  <c r="P148" i="1"/>
  <c r="U148" i="1" s="1"/>
  <c r="P164" i="1"/>
  <c r="U164" i="1" s="1"/>
  <c r="P180" i="1"/>
  <c r="U180" i="1" s="1"/>
  <c r="P194" i="1"/>
  <c r="U194" i="1" s="1"/>
  <c r="P202" i="1"/>
  <c r="U202" i="1" s="1"/>
  <c r="N8" i="1"/>
  <c r="S8" i="1" s="1"/>
  <c r="N12" i="1"/>
  <c r="S12" i="1" s="1"/>
  <c r="N16" i="1"/>
  <c r="S16" i="1" s="1"/>
  <c r="N20" i="1"/>
  <c r="S20" i="1" s="1"/>
  <c r="N24" i="1"/>
  <c r="S24" i="1" s="1"/>
  <c r="N28" i="1"/>
  <c r="S28" i="1" s="1"/>
  <c r="N32" i="1"/>
  <c r="S32" i="1" s="1"/>
  <c r="N36" i="1"/>
  <c r="S36" i="1" s="1"/>
  <c r="N40" i="1"/>
  <c r="S40" i="1" s="1"/>
  <c r="N44" i="1"/>
  <c r="S44" i="1" s="1"/>
  <c r="N48" i="1"/>
  <c r="S48" i="1" s="1"/>
  <c r="N52" i="1"/>
  <c r="S52" i="1" s="1"/>
  <c r="N56" i="1"/>
  <c r="S56" i="1" s="1"/>
  <c r="N60" i="1"/>
  <c r="S60" i="1" s="1"/>
  <c r="N64" i="1"/>
  <c r="S64" i="1" s="1"/>
  <c r="N68" i="1"/>
  <c r="S68" i="1" s="1"/>
  <c r="N72" i="1"/>
  <c r="S72" i="1" s="1"/>
  <c r="N76" i="1"/>
  <c r="S76" i="1" s="1"/>
  <c r="N80" i="1"/>
  <c r="S80" i="1" s="1"/>
  <c r="N84" i="1"/>
  <c r="S84" i="1" s="1"/>
  <c r="N88" i="1"/>
  <c r="S88" i="1" s="1"/>
  <c r="N92" i="1"/>
  <c r="S92" i="1" s="1"/>
  <c r="N96" i="1"/>
  <c r="S96" i="1" s="1"/>
  <c r="N100" i="1"/>
  <c r="S100" i="1" s="1"/>
  <c r="N104" i="1"/>
  <c r="S104" i="1" s="1"/>
  <c r="N108" i="1"/>
  <c r="S108" i="1" s="1"/>
  <c r="N112" i="1"/>
  <c r="S112" i="1" s="1"/>
  <c r="N116" i="1"/>
  <c r="S116" i="1" s="1"/>
  <c r="N120" i="1"/>
  <c r="S120" i="1" s="1"/>
  <c r="N124" i="1"/>
  <c r="S124" i="1" s="1"/>
  <c r="N128" i="1"/>
  <c r="S128" i="1" s="1"/>
  <c r="N132" i="1"/>
  <c r="S132" i="1" s="1"/>
  <c r="N136" i="1"/>
  <c r="S136" i="1" s="1"/>
  <c r="N140" i="1"/>
  <c r="S140" i="1" s="1"/>
  <c r="N9" i="1"/>
  <c r="S9" i="1" s="1"/>
  <c r="N13" i="1"/>
  <c r="S13" i="1" s="1"/>
  <c r="N17" i="1"/>
  <c r="S17" i="1" s="1"/>
  <c r="N21" i="1"/>
  <c r="S21" i="1" s="1"/>
  <c r="N25" i="1"/>
  <c r="S25" i="1" s="1"/>
  <c r="N29" i="1"/>
  <c r="S29" i="1" s="1"/>
  <c r="N33" i="1"/>
  <c r="S33" i="1" s="1"/>
  <c r="N37" i="1"/>
  <c r="S37" i="1" s="1"/>
  <c r="N41" i="1"/>
  <c r="S41" i="1" s="1"/>
  <c r="N45" i="1"/>
  <c r="S45" i="1" s="1"/>
  <c r="N49" i="1"/>
  <c r="S49" i="1" s="1"/>
  <c r="N53" i="1"/>
  <c r="S53" i="1" s="1"/>
  <c r="N57" i="1"/>
  <c r="S57" i="1" s="1"/>
  <c r="N61" i="1"/>
  <c r="S61" i="1" s="1"/>
  <c r="N65" i="1"/>
  <c r="S65" i="1" s="1"/>
  <c r="N69" i="1"/>
  <c r="S69" i="1" s="1"/>
  <c r="N73" i="1"/>
  <c r="S73" i="1" s="1"/>
  <c r="N77" i="1"/>
  <c r="S77" i="1" s="1"/>
  <c r="N81" i="1"/>
  <c r="S81" i="1" s="1"/>
  <c r="N6" i="1"/>
  <c r="S6" i="1" s="1"/>
  <c r="N10" i="1"/>
  <c r="S10" i="1" s="1"/>
  <c r="N14" i="1"/>
  <c r="S14" i="1" s="1"/>
  <c r="N18" i="1"/>
  <c r="S18" i="1" s="1"/>
  <c r="N22" i="1"/>
  <c r="S22" i="1" s="1"/>
  <c r="N26" i="1"/>
  <c r="S26" i="1" s="1"/>
  <c r="N30" i="1"/>
  <c r="S30" i="1" s="1"/>
  <c r="N34" i="1"/>
  <c r="S34" i="1" s="1"/>
  <c r="N38" i="1"/>
  <c r="S38" i="1" s="1"/>
  <c r="N42" i="1"/>
  <c r="S42" i="1" s="1"/>
  <c r="N46" i="1"/>
  <c r="S46" i="1" s="1"/>
  <c r="N50" i="1"/>
  <c r="S50" i="1" s="1"/>
  <c r="N54" i="1"/>
  <c r="S54" i="1" s="1"/>
  <c r="N58" i="1"/>
  <c r="S58" i="1" s="1"/>
  <c r="N62" i="1"/>
  <c r="S62" i="1" s="1"/>
  <c r="N66" i="1"/>
  <c r="S66" i="1" s="1"/>
  <c r="N70" i="1"/>
  <c r="S70" i="1" s="1"/>
  <c r="N74" i="1"/>
  <c r="S74" i="1" s="1"/>
  <c r="N78" i="1"/>
  <c r="S78" i="1" s="1"/>
  <c r="N7" i="1"/>
  <c r="S7" i="1" s="1"/>
  <c r="N11" i="1"/>
  <c r="S11" i="1" s="1"/>
  <c r="N15" i="1"/>
  <c r="S15" i="1" s="1"/>
  <c r="N19" i="1"/>
  <c r="S19" i="1" s="1"/>
  <c r="N23" i="1"/>
  <c r="S23" i="1" s="1"/>
  <c r="N27" i="1"/>
  <c r="S27" i="1" s="1"/>
  <c r="N31" i="1"/>
  <c r="S31" i="1" s="1"/>
  <c r="N35" i="1"/>
  <c r="S35" i="1" s="1"/>
  <c r="N39" i="1"/>
  <c r="S39" i="1" s="1"/>
  <c r="N43" i="1"/>
  <c r="S43" i="1" s="1"/>
  <c r="N47" i="1"/>
  <c r="S47" i="1" s="1"/>
  <c r="N51" i="1"/>
  <c r="S51" i="1" s="1"/>
  <c r="N55" i="1"/>
  <c r="S55" i="1" s="1"/>
  <c r="N59" i="1"/>
  <c r="S59" i="1" s="1"/>
  <c r="N63" i="1"/>
  <c r="S63" i="1" s="1"/>
  <c r="N67" i="1"/>
  <c r="S67" i="1" s="1"/>
  <c r="N71" i="1"/>
  <c r="S71" i="1" s="1"/>
  <c r="N75" i="1"/>
  <c r="S75" i="1" s="1"/>
  <c r="N79" i="1"/>
  <c r="S79" i="1" s="1"/>
  <c r="N83" i="1"/>
  <c r="S83" i="1" s="1"/>
  <c r="N87" i="1"/>
  <c r="S87" i="1" s="1"/>
  <c r="N91" i="1"/>
  <c r="S91" i="1" s="1"/>
  <c r="N95" i="1"/>
  <c r="S95" i="1" s="1"/>
  <c r="N99" i="1"/>
  <c r="S99" i="1" s="1"/>
  <c r="N103" i="1"/>
  <c r="S103" i="1" s="1"/>
  <c r="N107" i="1"/>
  <c r="S107" i="1" s="1"/>
  <c r="N111" i="1"/>
  <c r="S111" i="1" s="1"/>
  <c r="N115" i="1"/>
  <c r="S115" i="1" s="1"/>
  <c r="N119" i="1"/>
  <c r="S119" i="1" s="1"/>
  <c r="N123" i="1"/>
  <c r="S123" i="1" s="1"/>
  <c r="N127" i="1"/>
  <c r="S127" i="1" s="1"/>
  <c r="N131" i="1"/>
  <c r="S131" i="1" s="1"/>
  <c r="N135" i="1"/>
  <c r="S135" i="1" s="1"/>
  <c r="N139" i="1"/>
  <c r="S139" i="1" s="1"/>
  <c r="N85" i="1"/>
  <c r="S85" i="1" s="1"/>
  <c r="N101" i="1"/>
  <c r="S101" i="1" s="1"/>
  <c r="N109" i="1"/>
  <c r="S109" i="1" s="1"/>
  <c r="N117" i="1"/>
  <c r="S117" i="1" s="1"/>
  <c r="N125" i="1"/>
  <c r="S125" i="1" s="1"/>
  <c r="N141" i="1"/>
  <c r="S141" i="1" s="1"/>
  <c r="N149" i="1"/>
  <c r="S149" i="1" s="1"/>
  <c r="N157" i="1"/>
  <c r="S157" i="1" s="1"/>
  <c r="N169" i="1"/>
  <c r="S169" i="1" s="1"/>
  <c r="N181" i="1"/>
  <c r="S181" i="1" s="1"/>
  <c r="N193" i="1"/>
  <c r="S193" i="1" s="1"/>
  <c r="N201" i="1"/>
  <c r="S201" i="1" s="1"/>
  <c r="N5" i="1"/>
  <c r="N86" i="1"/>
  <c r="S86" i="1" s="1"/>
  <c r="N110" i="1"/>
  <c r="S110" i="1" s="1"/>
  <c r="N134" i="1"/>
  <c r="S134" i="1" s="1"/>
  <c r="N146" i="1"/>
  <c r="S146" i="1" s="1"/>
  <c r="N158" i="1"/>
  <c r="S158" i="1" s="1"/>
  <c r="N166" i="1"/>
  <c r="S166" i="1" s="1"/>
  <c r="N174" i="1"/>
  <c r="S174" i="1" s="1"/>
  <c r="N182" i="1"/>
  <c r="S182" i="1" s="1"/>
  <c r="N194" i="1"/>
  <c r="S194" i="1" s="1"/>
  <c r="N202" i="1"/>
  <c r="S202" i="1" s="1"/>
  <c r="N102" i="1"/>
  <c r="S102" i="1" s="1"/>
  <c r="N190" i="1"/>
  <c r="S190" i="1" s="1"/>
  <c r="N89" i="1"/>
  <c r="S89" i="1" s="1"/>
  <c r="N97" i="1"/>
  <c r="S97" i="1" s="1"/>
  <c r="N105" i="1"/>
  <c r="S105" i="1" s="1"/>
  <c r="N113" i="1"/>
  <c r="S113" i="1" s="1"/>
  <c r="N121" i="1"/>
  <c r="S121" i="1" s="1"/>
  <c r="N129" i="1"/>
  <c r="S129" i="1" s="1"/>
  <c r="N137" i="1"/>
  <c r="S137" i="1" s="1"/>
  <c r="N143" i="1"/>
  <c r="S143" i="1" s="1"/>
  <c r="N147" i="1"/>
  <c r="S147" i="1" s="1"/>
  <c r="N151" i="1"/>
  <c r="S151" i="1" s="1"/>
  <c r="N155" i="1"/>
  <c r="S155" i="1" s="1"/>
  <c r="N159" i="1"/>
  <c r="S159" i="1" s="1"/>
  <c r="N163" i="1"/>
  <c r="S163" i="1" s="1"/>
  <c r="N167" i="1"/>
  <c r="S167" i="1" s="1"/>
  <c r="N171" i="1"/>
  <c r="S171" i="1" s="1"/>
  <c r="N175" i="1"/>
  <c r="S175" i="1" s="1"/>
  <c r="N179" i="1"/>
  <c r="S179" i="1" s="1"/>
  <c r="N183" i="1"/>
  <c r="S183" i="1" s="1"/>
  <c r="N187" i="1"/>
  <c r="S187" i="1" s="1"/>
  <c r="N191" i="1"/>
  <c r="S191" i="1" s="1"/>
  <c r="N195" i="1"/>
  <c r="S195" i="1" s="1"/>
  <c r="N199" i="1"/>
  <c r="S199" i="1" s="1"/>
  <c r="N203" i="1"/>
  <c r="S203" i="1" s="1"/>
  <c r="N207" i="1"/>
  <c r="S207" i="1" s="1"/>
  <c r="N82" i="1"/>
  <c r="S82" i="1" s="1"/>
  <c r="N90" i="1"/>
  <c r="S90" i="1" s="1"/>
  <c r="N98" i="1"/>
  <c r="S98" i="1" s="1"/>
  <c r="N106" i="1"/>
  <c r="S106" i="1" s="1"/>
  <c r="N114" i="1"/>
  <c r="S114" i="1" s="1"/>
  <c r="N122" i="1"/>
  <c r="S122" i="1" s="1"/>
  <c r="N130" i="1"/>
  <c r="S130" i="1" s="1"/>
  <c r="N138" i="1"/>
  <c r="S138" i="1" s="1"/>
  <c r="N144" i="1"/>
  <c r="S144" i="1" s="1"/>
  <c r="N148" i="1"/>
  <c r="S148" i="1" s="1"/>
  <c r="N152" i="1"/>
  <c r="S152" i="1" s="1"/>
  <c r="N156" i="1"/>
  <c r="S156" i="1" s="1"/>
  <c r="N160" i="1"/>
  <c r="S160" i="1" s="1"/>
  <c r="N164" i="1"/>
  <c r="S164" i="1" s="1"/>
  <c r="N168" i="1"/>
  <c r="S168" i="1" s="1"/>
  <c r="N172" i="1"/>
  <c r="S172" i="1" s="1"/>
  <c r="N176" i="1"/>
  <c r="S176" i="1" s="1"/>
  <c r="N180" i="1"/>
  <c r="S180" i="1" s="1"/>
  <c r="N184" i="1"/>
  <c r="S184" i="1" s="1"/>
  <c r="N188" i="1"/>
  <c r="S188" i="1" s="1"/>
  <c r="N192" i="1"/>
  <c r="S192" i="1" s="1"/>
  <c r="N196" i="1"/>
  <c r="S196" i="1" s="1"/>
  <c r="N200" i="1"/>
  <c r="S200" i="1" s="1"/>
  <c r="N204" i="1"/>
  <c r="S204" i="1" s="1"/>
  <c r="N208" i="1"/>
  <c r="S208" i="1" s="1"/>
  <c r="N93" i="1"/>
  <c r="S93" i="1" s="1"/>
  <c r="N133" i="1"/>
  <c r="S133" i="1" s="1"/>
  <c r="N145" i="1"/>
  <c r="S145" i="1" s="1"/>
  <c r="N153" i="1"/>
  <c r="S153" i="1" s="1"/>
  <c r="N161" i="1"/>
  <c r="S161" i="1" s="1"/>
  <c r="N165" i="1"/>
  <c r="S165" i="1" s="1"/>
  <c r="N173" i="1"/>
  <c r="S173" i="1" s="1"/>
  <c r="N177" i="1"/>
  <c r="S177" i="1" s="1"/>
  <c r="N185" i="1"/>
  <c r="S185" i="1" s="1"/>
  <c r="N189" i="1"/>
  <c r="S189" i="1" s="1"/>
  <c r="N197" i="1"/>
  <c r="S197" i="1" s="1"/>
  <c r="N205" i="1"/>
  <c r="S205" i="1" s="1"/>
  <c r="N94" i="1"/>
  <c r="S94" i="1" s="1"/>
  <c r="N118" i="1"/>
  <c r="S118" i="1" s="1"/>
  <c r="N126" i="1"/>
  <c r="S126" i="1" s="1"/>
  <c r="N142" i="1"/>
  <c r="S142" i="1" s="1"/>
  <c r="N150" i="1"/>
  <c r="S150" i="1" s="1"/>
  <c r="N154" i="1"/>
  <c r="S154" i="1" s="1"/>
  <c r="N162" i="1"/>
  <c r="S162" i="1" s="1"/>
  <c r="N170" i="1"/>
  <c r="S170" i="1" s="1"/>
  <c r="N178" i="1"/>
  <c r="S178" i="1" s="1"/>
  <c r="N186" i="1"/>
  <c r="S186" i="1" s="1"/>
  <c r="N198" i="1"/>
  <c r="S198" i="1" s="1"/>
  <c r="N206" i="1"/>
  <c r="S206" i="1" s="1"/>
  <c r="O9" i="1"/>
  <c r="T9" i="1" s="1"/>
  <c r="O13" i="1"/>
  <c r="T13" i="1" s="1"/>
  <c r="O17" i="1"/>
  <c r="T17" i="1" s="1"/>
  <c r="O21" i="1"/>
  <c r="T21" i="1" s="1"/>
  <c r="O25" i="1"/>
  <c r="T25" i="1" s="1"/>
  <c r="O29" i="1"/>
  <c r="T29" i="1" s="1"/>
  <c r="O33" i="1"/>
  <c r="T33" i="1" s="1"/>
  <c r="O37" i="1"/>
  <c r="T37" i="1" s="1"/>
  <c r="O41" i="1"/>
  <c r="T41" i="1" s="1"/>
  <c r="O45" i="1"/>
  <c r="T45" i="1" s="1"/>
  <c r="O49" i="1"/>
  <c r="T49" i="1" s="1"/>
  <c r="O53" i="1"/>
  <c r="T53" i="1" s="1"/>
  <c r="O57" i="1"/>
  <c r="T57" i="1" s="1"/>
  <c r="O61" i="1"/>
  <c r="T61" i="1" s="1"/>
  <c r="O65" i="1"/>
  <c r="T65" i="1" s="1"/>
  <c r="O69" i="1"/>
  <c r="T69" i="1" s="1"/>
  <c r="O73" i="1"/>
  <c r="T73" i="1" s="1"/>
  <c r="O77" i="1"/>
  <c r="T77" i="1" s="1"/>
  <c r="O81" i="1"/>
  <c r="T81" i="1" s="1"/>
  <c r="O85" i="1"/>
  <c r="T85" i="1" s="1"/>
  <c r="O89" i="1"/>
  <c r="T89" i="1" s="1"/>
  <c r="O93" i="1"/>
  <c r="T93" i="1" s="1"/>
  <c r="O97" i="1"/>
  <c r="T97" i="1" s="1"/>
  <c r="O101" i="1"/>
  <c r="T101" i="1" s="1"/>
  <c r="O105" i="1"/>
  <c r="T105" i="1" s="1"/>
  <c r="O109" i="1"/>
  <c r="T109" i="1" s="1"/>
  <c r="O113" i="1"/>
  <c r="T113" i="1" s="1"/>
  <c r="O117" i="1"/>
  <c r="T117" i="1" s="1"/>
  <c r="O121" i="1"/>
  <c r="T121" i="1" s="1"/>
  <c r="O125" i="1"/>
  <c r="T125" i="1" s="1"/>
  <c r="O129" i="1"/>
  <c r="T129" i="1" s="1"/>
  <c r="O133" i="1"/>
  <c r="T133" i="1" s="1"/>
  <c r="O137" i="1"/>
  <c r="T137" i="1" s="1"/>
  <c r="O141" i="1"/>
  <c r="T141" i="1" s="1"/>
  <c r="O6" i="1"/>
  <c r="T6" i="1" s="1"/>
  <c r="O10" i="1"/>
  <c r="T10" i="1" s="1"/>
  <c r="O14" i="1"/>
  <c r="T14" i="1" s="1"/>
  <c r="O18" i="1"/>
  <c r="T18" i="1" s="1"/>
  <c r="O22" i="1"/>
  <c r="T22" i="1" s="1"/>
  <c r="O26" i="1"/>
  <c r="T26" i="1" s="1"/>
  <c r="O30" i="1"/>
  <c r="T30" i="1" s="1"/>
  <c r="O34" i="1"/>
  <c r="T34" i="1" s="1"/>
  <c r="O38" i="1"/>
  <c r="T38" i="1" s="1"/>
  <c r="O42" i="1"/>
  <c r="T42" i="1" s="1"/>
  <c r="O46" i="1"/>
  <c r="T46" i="1" s="1"/>
  <c r="O50" i="1"/>
  <c r="T50" i="1" s="1"/>
  <c r="O54" i="1"/>
  <c r="T54" i="1" s="1"/>
  <c r="O58" i="1"/>
  <c r="T58" i="1" s="1"/>
  <c r="O62" i="1"/>
  <c r="T62" i="1" s="1"/>
  <c r="O66" i="1"/>
  <c r="T66" i="1" s="1"/>
  <c r="O70" i="1"/>
  <c r="T70" i="1" s="1"/>
  <c r="O74" i="1"/>
  <c r="T74" i="1" s="1"/>
  <c r="O78" i="1"/>
  <c r="T78" i="1" s="1"/>
  <c r="O82" i="1"/>
  <c r="T82" i="1" s="1"/>
  <c r="O86" i="1"/>
  <c r="T86" i="1" s="1"/>
  <c r="O90" i="1"/>
  <c r="T90" i="1" s="1"/>
  <c r="O94" i="1"/>
  <c r="T94" i="1" s="1"/>
  <c r="O98" i="1"/>
  <c r="T98" i="1" s="1"/>
  <c r="O102" i="1"/>
  <c r="T102" i="1" s="1"/>
  <c r="O106" i="1"/>
  <c r="T106" i="1" s="1"/>
  <c r="O110" i="1"/>
  <c r="T110" i="1" s="1"/>
  <c r="O114" i="1"/>
  <c r="T114" i="1" s="1"/>
  <c r="O118" i="1"/>
  <c r="T118" i="1" s="1"/>
  <c r="O122" i="1"/>
  <c r="T122" i="1" s="1"/>
  <c r="O126" i="1"/>
  <c r="T126" i="1" s="1"/>
  <c r="O130" i="1"/>
  <c r="T130" i="1" s="1"/>
  <c r="O134" i="1"/>
  <c r="T134" i="1" s="1"/>
  <c r="O138" i="1"/>
  <c r="T138" i="1" s="1"/>
  <c r="O7" i="1"/>
  <c r="T7" i="1" s="1"/>
  <c r="O11" i="1"/>
  <c r="T11" i="1" s="1"/>
  <c r="O15" i="1"/>
  <c r="T15" i="1" s="1"/>
  <c r="O19" i="1"/>
  <c r="T19" i="1" s="1"/>
  <c r="O23" i="1"/>
  <c r="T23" i="1" s="1"/>
  <c r="O27" i="1"/>
  <c r="T27" i="1" s="1"/>
  <c r="O31" i="1"/>
  <c r="T31" i="1" s="1"/>
  <c r="O35" i="1"/>
  <c r="T35" i="1" s="1"/>
  <c r="O39" i="1"/>
  <c r="T39" i="1" s="1"/>
  <c r="O43" i="1"/>
  <c r="T43" i="1" s="1"/>
  <c r="O47" i="1"/>
  <c r="T47" i="1" s="1"/>
  <c r="O51" i="1"/>
  <c r="T51" i="1" s="1"/>
  <c r="O55" i="1"/>
  <c r="T55" i="1" s="1"/>
  <c r="O59" i="1"/>
  <c r="T59" i="1" s="1"/>
  <c r="O63" i="1"/>
  <c r="T63" i="1" s="1"/>
  <c r="O67" i="1"/>
  <c r="T67" i="1" s="1"/>
  <c r="O71" i="1"/>
  <c r="T71" i="1" s="1"/>
  <c r="O75" i="1"/>
  <c r="T75" i="1" s="1"/>
  <c r="O79" i="1"/>
  <c r="T79" i="1" s="1"/>
  <c r="O83" i="1"/>
  <c r="T83" i="1" s="1"/>
  <c r="O87" i="1"/>
  <c r="T87" i="1" s="1"/>
  <c r="O91" i="1"/>
  <c r="T91" i="1" s="1"/>
  <c r="O95" i="1"/>
  <c r="T95" i="1" s="1"/>
  <c r="O99" i="1"/>
  <c r="T99" i="1" s="1"/>
  <c r="O103" i="1"/>
  <c r="T103" i="1" s="1"/>
  <c r="O107" i="1"/>
  <c r="T107" i="1" s="1"/>
  <c r="O111" i="1"/>
  <c r="T111" i="1" s="1"/>
  <c r="O115" i="1"/>
  <c r="T115" i="1" s="1"/>
  <c r="O119" i="1"/>
  <c r="T119" i="1" s="1"/>
  <c r="O123" i="1"/>
  <c r="T123" i="1" s="1"/>
  <c r="O127" i="1"/>
  <c r="T127" i="1" s="1"/>
  <c r="O131" i="1"/>
  <c r="T131" i="1" s="1"/>
  <c r="O135" i="1"/>
  <c r="T135" i="1" s="1"/>
  <c r="O139" i="1"/>
  <c r="T139" i="1" s="1"/>
  <c r="O20" i="1"/>
  <c r="T20" i="1" s="1"/>
  <c r="O36" i="1"/>
  <c r="T36" i="1" s="1"/>
  <c r="O52" i="1"/>
  <c r="T52" i="1" s="1"/>
  <c r="O68" i="1"/>
  <c r="T68" i="1" s="1"/>
  <c r="O84" i="1"/>
  <c r="T84" i="1" s="1"/>
  <c r="O100" i="1"/>
  <c r="T100" i="1" s="1"/>
  <c r="O116" i="1"/>
  <c r="T116" i="1" s="1"/>
  <c r="O132" i="1"/>
  <c r="T132" i="1" s="1"/>
  <c r="O143" i="1"/>
  <c r="T143" i="1" s="1"/>
  <c r="O147" i="1"/>
  <c r="T147" i="1" s="1"/>
  <c r="O151" i="1"/>
  <c r="T151" i="1" s="1"/>
  <c r="O155" i="1"/>
  <c r="T155" i="1" s="1"/>
  <c r="O159" i="1"/>
  <c r="T159" i="1" s="1"/>
  <c r="O163" i="1"/>
  <c r="T163" i="1" s="1"/>
  <c r="O167" i="1"/>
  <c r="T167" i="1" s="1"/>
  <c r="O171" i="1"/>
  <c r="T171" i="1" s="1"/>
  <c r="O175" i="1"/>
  <c r="T175" i="1" s="1"/>
  <c r="O179" i="1"/>
  <c r="T179" i="1" s="1"/>
  <c r="O183" i="1"/>
  <c r="T183" i="1" s="1"/>
  <c r="O187" i="1"/>
  <c r="T187" i="1" s="1"/>
  <c r="O191" i="1"/>
  <c r="T191" i="1" s="1"/>
  <c r="O195" i="1"/>
  <c r="T195" i="1" s="1"/>
  <c r="O199" i="1"/>
  <c r="T199" i="1" s="1"/>
  <c r="O203" i="1"/>
  <c r="T203" i="1" s="1"/>
  <c r="O207" i="1"/>
  <c r="T207" i="1" s="1"/>
  <c r="O16" i="1"/>
  <c r="T16" i="1" s="1"/>
  <c r="O64" i="1"/>
  <c r="T64" i="1" s="1"/>
  <c r="O112" i="1"/>
  <c r="T112" i="1" s="1"/>
  <c r="O128" i="1"/>
  <c r="T128" i="1" s="1"/>
  <c r="O150" i="1"/>
  <c r="T150" i="1" s="1"/>
  <c r="O154" i="1"/>
  <c r="T154" i="1" s="1"/>
  <c r="O166" i="1"/>
  <c r="T166" i="1" s="1"/>
  <c r="O170" i="1"/>
  <c r="T170" i="1" s="1"/>
  <c r="O182" i="1"/>
  <c r="T182" i="1" s="1"/>
  <c r="O194" i="1"/>
  <c r="T194" i="1" s="1"/>
  <c r="O206" i="1"/>
  <c r="T206" i="1" s="1"/>
  <c r="O8" i="1"/>
  <c r="T8" i="1" s="1"/>
  <c r="O24" i="1"/>
  <c r="T24" i="1" s="1"/>
  <c r="O40" i="1"/>
  <c r="T40" i="1" s="1"/>
  <c r="O56" i="1"/>
  <c r="T56" i="1" s="1"/>
  <c r="O72" i="1"/>
  <c r="T72" i="1" s="1"/>
  <c r="O88" i="1"/>
  <c r="T88" i="1" s="1"/>
  <c r="O104" i="1"/>
  <c r="T104" i="1" s="1"/>
  <c r="O120" i="1"/>
  <c r="T120" i="1" s="1"/>
  <c r="O136" i="1"/>
  <c r="T136" i="1" s="1"/>
  <c r="O144" i="1"/>
  <c r="T144" i="1" s="1"/>
  <c r="O148" i="1"/>
  <c r="T148" i="1" s="1"/>
  <c r="O152" i="1"/>
  <c r="T152" i="1" s="1"/>
  <c r="O156" i="1"/>
  <c r="T156" i="1" s="1"/>
  <c r="O160" i="1"/>
  <c r="T160" i="1" s="1"/>
  <c r="O164" i="1"/>
  <c r="T164" i="1" s="1"/>
  <c r="O168" i="1"/>
  <c r="T168" i="1" s="1"/>
  <c r="O172" i="1"/>
  <c r="T172" i="1" s="1"/>
  <c r="O176" i="1"/>
  <c r="T176" i="1" s="1"/>
  <c r="O180" i="1"/>
  <c r="T180" i="1" s="1"/>
  <c r="O184" i="1"/>
  <c r="T184" i="1" s="1"/>
  <c r="O188" i="1"/>
  <c r="T188" i="1" s="1"/>
  <c r="O192" i="1"/>
  <c r="T192" i="1" s="1"/>
  <c r="O196" i="1"/>
  <c r="T196" i="1" s="1"/>
  <c r="O200" i="1"/>
  <c r="T200" i="1" s="1"/>
  <c r="O204" i="1"/>
  <c r="T204" i="1" s="1"/>
  <c r="O208" i="1"/>
  <c r="T208" i="1" s="1"/>
  <c r="O32" i="1"/>
  <c r="T32" i="1" s="1"/>
  <c r="O80" i="1"/>
  <c r="T80" i="1" s="1"/>
  <c r="O142" i="1"/>
  <c r="T142" i="1" s="1"/>
  <c r="O158" i="1"/>
  <c r="T158" i="1" s="1"/>
  <c r="O174" i="1"/>
  <c r="T174" i="1" s="1"/>
  <c r="O186" i="1"/>
  <c r="T186" i="1" s="1"/>
  <c r="O198" i="1"/>
  <c r="T198" i="1" s="1"/>
  <c r="O12" i="1"/>
  <c r="T12" i="1" s="1"/>
  <c r="O28" i="1"/>
  <c r="T28" i="1" s="1"/>
  <c r="O44" i="1"/>
  <c r="T44" i="1" s="1"/>
  <c r="O60" i="1"/>
  <c r="T60" i="1" s="1"/>
  <c r="O76" i="1"/>
  <c r="T76" i="1" s="1"/>
  <c r="O92" i="1"/>
  <c r="T92" i="1" s="1"/>
  <c r="O108" i="1"/>
  <c r="T108" i="1" s="1"/>
  <c r="O124" i="1"/>
  <c r="T124" i="1" s="1"/>
  <c r="O140" i="1"/>
  <c r="T140" i="1" s="1"/>
  <c r="O145" i="1"/>
  <c r="T145" i="1" s="1"/>
  <c r="O149" i="1"/>
  <c r="T149" i="1" s="1"/>
  <c r="O153" i="1"/>
  <c r="T153" i="1" s="1"/>
  <c r="O157" i="1"/>
  <c r="T157" i="1" s="1"/>
  <c r="O161" i="1"/>
  <c r="T161" i="1" s="1"/>
  <c r="O165" i="1"/>
  <c r="T165" i="1" s="1"/>
  <c r="O169" i="1"/>
  <c r="T169" i="1" s="1"/>
  <c r="O173" i="1"/>
  <c r="T173" i="1" s="1"/>
  <c r="O177" i="1"/>
  <c r="T177" i="1" s="1"/>
  <c r="O181" i="1"/>
  <c r="T181" i="1" s="1"/>
  <c r="O185" i="1"/>
  <c r="T185" i="1" s="1"/>
  <c r="O189" i="1"/>
  <c r="T189" i="1" s="1"/>
  <c r="O193" i="1"/>
  <c r="T193" i="1" s="1"/>
  <c r="O197" i="1"/>
  <c r="T197" i="1" s="1"/>
  <c r="O201" i="1"/>
  <c r="T201" i="1" s="1"/>
  <c r="O205" i="1"/>
  <c r="T205" i="1" s="1"/>
  <c r="O5" i="1"/>
  <c r="T5" i="1" s="1"/>
  <c r="O48" i="1"/>
  <c r="T48" i="1" s="1"/>
  <c r="O96" i="1"/>
  <c r="T96" i="1" s="1"/>
  <c r="O146" i="1"/>
  <c r="T146" i="1" s="1"/>
  <c r="O162" i="1"/>
  <c r="T162" i="1" s="1"/>
  <c r="O178" i="1"/>
  <c r="T178" i="1" s="1"/>
  <c r="O190" i="1"/>
  <c r="T190" i="1" s="1"/>
  <c r="O202" i="1"/>
  <c r="T202" i="1" s="1"/>
  <c r="M6" i="1"/>
  <c r="M10" i="1"/>
  <c r="M14" i="1"/>
  <c r="M18" i="1"/>
  <c r="M22" i="1"/>
  <c r="M26" i="1"/>
  <c r="M30" i="1"/>
  <c r="M34" i="1"/>
  <c r="M38" i="1"/>
  <c r="M42" i="1"/>
  <c r="M46" i="1"/>
  <c r="M50" i="1"/>
  <c r="M54" i="1"/>
  <c r="M58" i="1"/>
  <c r="M62" i="1"/>
  <c r="M66" i="1"/>
  <c r="M70" i="1"/>
  <c r="M74" i="1"/>
  <c r="M78" i="1"/>
  <c r="M82" i="1"/>
  <c r="M86" i="1"/>
  <c r="M90" i="1"/>
  <c r="M94" i="1"/>
  <c r="M98" i="1"/>
  <c r="M102" i="1"/>
  <c r="M106" i="1"/>
  <c r="M110" i="1"/>
  <c r="M114" i="1"/>
  <c r="M118" i="1"/>
  <c r="M122" i="1"/>
  <c r="M126" i="1"/>
  <c r="M130" i="1"/>
  <c r="M134" i="1"/>
  <c r="M138" i="1"/>
  <c r="M7" i="1"/>
  <c r="M11" i="1"/>
  <c r="M15" i="1"/>
  <c r="M19" i="1"/>
  <c r="M23" i="1"/>
  <c r="M27" i="1"/>
  <c r="M31" i="1"/>
  <c r="M35" i="1"/>
  <c r="M8" i="1"/>
  <c r="M12" i="1"/>
  <c r="M16" i="1"/>
  <c r="M20" i="1"/>
  <c r="M24" i="1"/>
  <c r="M28" i="1"/>
  <c r="M32" i="1"/>
  <c r="M36" i="1"/>
  <c r="M9" i="1"/>
  <c r="M13" i="1"/>
  <c r="M17" i="1"/>
  <c r="M21" i="1"/>
  <c r="M25" i="1"/>
  <c r="M29" i="1"/>
  <c r="M33" i="1"/>
  <c r="M37" i="1"/>
  <c r="M41" i="1"/>
  <c r="M45" i="1"/>
  <c r="M49" i="1"/>
  <c r="M53" i="1"/>
  <c r="M57" i="1"/>
  <c r="M61" i="1"/>
  <c r="M65" i="1"/>
  <c r="M69" i="1"/>
  <c r="M73" i="1"/>
  <c r="M77" i="1"/>
  <c r="M81" i="1"/>
  <c r="M85" i="1"/>
  <c r="M89" i="1"/>
  <c r="M93" i="1"/>
  <c r="M97" i="1"/>
  <c r="M101" i="1"/>
  <c r="M105" i="1"/>
  <c r="M109" i="1"/>
  <c r="M113" i="1"/>
  <c r="M117" i="1"/>
  <c r="M121" i="1"/>
  <c r="M125" i="1"/>
  <c r="M129" i="1"/>
  <c r="M133" i="1"/>
  <c r="M137" i="1"/>
  <c r="M141" i="1"/>
  <c r="M44" i="1"/>
  <c r="M92" i="1"/>
  <c r="M124" i="1"/>
  <c r="M153" i="1"/>
  <c r="M161" i="1"/>
  <c r="M173" i="1"/>
  <c r="M189" i="1"/>
  <c r="M201" i="1"/>
  <c r="M39" i="1"/>
  <c r="M63" i="1"/>
  <c r="M79" i="1"/>
  <c r="M95" i="1"/>
  <c r="M111" i="1"/>
  <c r="M127" i="1"/>
  <c r="M142" i="1"/>
  <c r="M154" i="1"/>
  <c r="M166" i="1"/>
  <c r="M174" i="1"/>
  <c r="M182" i="1"/>
  <c r="M190" i="1"/>
  <c r="M202" i="1"/>
  <c r="M55" i="1"/>
  <c r="M162" i="1"/>
  <c r="M198" i="1"/>
  <c r="M40" i="1"/>
  <c r="M48" i="1"/>
  <c r="M56" i="1"/>
  <c r="M64" i="1"/>
  <c r="M72" i="1"/>
  <c r="M80" i="1"/>
  <c r="M88" i="1"/>
  <c r="M96" i="1"/>
  <c r="M104" i="1"/>
  <c r="M112" i="1"/>
  <c r="M120" i="1"/>
  <c r="M128" i="1"/>
  <c r="M136" i="1"/>
  <c r="M143" i="1"/>
  <c r="M147" i="1"/>
  <c r="M151" i="1"/>
  <c r="M155" i="1"/>
  <c r="M159" i="1"/>
  <c r="M163" i="1"/>
  <c r="M167" i="1"/>
  <c r="M171" i="1"/>
  <c r="M175" i="1"/>
  <c r="M179" i="1"/>
  <c r="M183" i="1"/>
  <c r="M187" i="1"/>
  <c r="M191" i="1"/>
  <c r="M195" i="1"/>
  <c r="M199" i="1"/>
  <c r="M203" i="1"/>
  <c r="M207" i="1"/>
  <c r="M43" i="1"/>
  <c r="M51" i="1"/>
  <c r="M59" i="1"/>
  <c r="M67" i="1"/>
  <c r="M75" i="1"/>
  <c r="M83" i="1"/>
  <c r="M91" i="1"/>
  <c r="M99" i="1"/>
  <c r="M107" i="1"/>
  <c r="M115" i="1"/>
  <c r="M123" i="1"/>
  <c r="M131" i="1"/>
  <c r="M139" i="1"/>
  <c r="M144" i="1"/>
  <c r="M148" i="1"/>
  <c r="M152" i="1"/>
  <c r="M156" i="1"/>
  <c r="M160" i="1"/>
  <c r="M164" i="1"/>
  <c r="M168" i="1"/>
  <c r="M172" i="1"/>
  <c r="M176" i="1"/>
  <c r="M180" i="1"/>
  <c r="M184" i="1"/>
  <c r="M188" i="1"/>
  <c r="M192" i="1"/>
  <c r="M196" i="1"/>
  <c r="M200" i="1"/>
  <c r="M204" i="1"/>
  <c r="M208" i="1"/>
  <c r="M52" i="1"/>
  <c r="M60" i="1"/>
  <c r="M68" i="1"/>
  <c r="M76" i="1"/>
  <c r="M84" i="1"/>
  <c r="M100" i="1"/>
  <c r="M108" i="1"/>
  <c r="M116" i="1"/>
  <c r="M132" i="1"/>
  <c r="M140" i="1"/>
  <c r="M145" i="1"/>
  <c r="M149" i="1"/>
  <c r="M157" i="1"/>
  <c r="M165" i="1"/>
  <c r="M169" i="1"/>
  <c r="M177" i="1"/>
  <c r="M181" i="1"/>
  <c r="M185" i="1"/>
  <c r="M193" i="1"/>
  <c r="M197" i="1"/>
  <c r="M205" i="1"/>
  <c r="M5" i="1"/>
  <c r="M47" i="1"/>
  <c r="M71" i="1"/>
  <c r="M87" i="1"/>
  <c r="M103" i="1"/>
  <c r="M119" i="1"/>
  <c r="M135" i="1"/>
  <c r="M146" i="1"/>
  <c r="M150" i="1"/>
  <c r="M158" i="1"/>
  <c r="M170" i="1"/>
  <c r="M178" i="1"/>
  <c r="M186" i="1"/>
  <c r="M194" i="1"/>
  <c r="M206" i="1"/>
  <c r="Y5" i="1" l="1"/>
  <c r="Z5" i="1" s="1"/>
  <c r="AB5" i="1" s="1"/>
  <c r="AD5" i="1" s="1"/>
  <c r="R5" i="1"/>
  <c r="R206" i="1"/>
  <c r="Y206" i="1"/>
  <c r="Z206" i="1" s="1"/>
  <c r="R71" i="1"/>
  <c r="Y71" i="1"/>
  <c r="Z71" i="1" s="1"/>
  <c r="R149" i="1"/>
  <c r="Y149" i="1"/>
  <c r="Z149" i="1" s="1"/>
  <c r="R208" i="1"/>
  <c r="Y208" i="1"/>
  <c r="Z208" i="1" s="1"/>
  <c r="R160" i="1"/>
  <c r="Y160" i="1"/>
  <c r="Z160" i="1" s="1"/>
  <c r="R83" i="1"/>
  <c r="Y83" i="1"/>
  <c r="Z83" i="1" s="1"/>
  <c r="R183" i="1"/>
  <c r="Y183" i="1"/>
  <c r="Z183" i="1" s="1"/>
  <c r="R128" i="1"/>
  <c r="Y128" i="1"/>
  <c r="Z128" i="1" s="1"/>
  <c r="R198" i="1"/>
  <c r="Y198" i="1"/>
  <c r="Z198" i="1" s="1"/>
  <c r="R154" i="1"/>
  <c r="Y154" i="1"/>
  <c r="Z154" i="1" s="1"/>
  <c r="R153" i="1"/>
  <c r="Y153" i="1"/>
  <c r="Z153" i="1" s="1"/>
  <c r="R125" i="1"/>
  <c r="Y125" i="1"/>
  <c r="Z125" i="1" s="1"/>
  <c r="R77" i="1"/>
  <c r="Y77" i="1"/>
  <c r="Z77" i="1" s="1"/>
  <c r="R29" i="1"/>
  <c r="Y29" i="1"/>
  <c r="Z29" i="1" s="1"/>
  <c r="R12" i="1"/>
  <c r="Y12" i="1"/>
  <c r="Z12" i="1" s="1"/>
  <c r="R11" i="1"/>
  <c r="Y11" i="1"/>
  <c r="Z11" i="1" s="1"/>
  <c r="R114" i="1"/>
  <c r="Y114" i="1"/>
  <c r="Z114" i="1" s="1"/>
  <c r="R98" i="1"/>
  <c r="Y98" i="1"/>
  <c r="Z98" i="1" s="1"/>
  <c r="R66" i="1"/>
  <c r="Y66" i="1"/>
  <c r="Z66" i="1" s="1"/>
  <c r="R34" i="1"/>
  <c r="Y34" i="1"/>
  <c r="Z34" i="1" s="1"/>
  <c r="R18" i="1"/>
  <c r="Y18" i="1"/>
  <c r="Z18" i="1" s="1"/>
  <c r="R194" i="1"/>
  <c r="Y194" i="1"/>
  <c r="Z194" i="1" s="1"/>
  <c r="R158" i="1"/>
  <c r="Y158" i="1"/>
  <c r="Z158" i="1" s="1"/>
  <c r="R119" i="1"/>
  <c r="Y119" i="1"/>
  <c r="Z119" i="1" s="1"/>
  <c r="R47" i="1"/>
  <c r="Y47" i="1"/>
  <c r="Z47" i="1" s="1"/>
  <c r="R193" i="1"/>
  <c r="Y193" i="1"/>
  <c r="Z193" i="1" s="1"/>
  <c r="R169" i="1"/>
  <c r="Y169" i="1"/>
  <c r="Z169" i="1" s="1"/>
  <c r="R145" i="1"/>
  <c r="Y145" i="1"/>
  <c r="Z145" i="1" s="1"/>
  <c r="R108" i="1"/>
  <c r="Y108" i="1"/>
  <c r="Z108" i="1" s="1"/>
  <c r="R68" i="1"/>
  <c r="Y68" i="1"/>
  <c r="Z68" i="1" s="1"/>
  <c r="R204" i="1"/>
  <c r="Y204" i="1"/>
  <c r="Z204" i="1" s="1"/>
  <c r="R188" i="1"/>
  <c r="Y188" i="1"/>
  <c r="Z188" i="1" s="1"/>
  <c r="R172" i="1"/>
  <c r="Y172" i="1"/>
  <c r="Z172" i="1" s="1"/>
  <c r="R156" i="1"/>
  <c r="Y156" i="1"/>
  <c r="Z156" i="1" s="1"/>
  <c r="R139" i="1"/>
  <c r="Y139" i="1"/>
  <c r="Z139" i="1" s="1"/>
  <c r="R107" i="1"/>
  <c r="Y107" i="1"/>
  <c r="Z107" i="1" s="1"/>
  <c r="R75" i="1"/>
  <c r="Y75" i="1"/>
  <c r="Z75" i="1" s="1"/>
  <c r="R43" i="1"/>
  <c r="Y43" i="1"/>
  <c r="Z43" i="1" s="1"/>
  <c r="R195" i="1"/>
  <c r="Y195" i="1"/>
  <c r="Z195" i="1" s="1"/>
  <c r="R179" i="1"/>
  <c r="Y179" i="1"/>
  <c r="Z179" i="1" s="1"/>
  <c r="R163" i="1"/>
  <c r="Y163" i="1"/>
  <c r="Z163" i="1" s="1"/>
  <c r="R147" i="1"/>
  <c r="Y147" i="1"/>
  <c r="Z147" i="1" s="1"/>
  <c r="R120" i="1"/>
  <c r="Y120" i="1"/>
  <c r="Z120" i="1" s="1"/>
  <c r="R88" i="1"/>
  <c r="Y88" i="1"/>
  <c r="Z88" i="1" s="1"/>
  <c r="R56" i="1"/>
  <c r="Y56" i="1"/>
  <c r="Z56" i="1" s="1"/>
  <c r="R162" i="1"/>
  <c r="Y162" i="1"/>
  <c r="Z162" i="1" s="1"/>
  <c r="R182" i="1"/>
  <c r="Y182" i="1"/>
  <c r="Z182" i="1" s="1"/>
  <c r="R142" i="1"/>
  <c r="Y142" i="1"/>
  <c r="Z142" i="1" s="1"/>
  <c r="R79" i="1"/>
  <c r="Y79" i="1"/>
  <c r="Z79" i="1" s="1"/>
  <c r="R189" i="1"/>
  <c r="Y189" i="1"/>
  <c r="Z189" i="1" s="1"/>
  <c r="R124" i="1"/>
  <c r="Y124" i="1"/>
  <c r="Z124" i="1" s="1"/>
  <c r="R137" i="1"/>
  <c r="Y137" i="1"/>
  <c r="Z137" i="1" s="1"/>
  <c r="R121" i="1"/>
  <c r="Y121" i="1"/>
  <c r="Z121" i="1" s="1"/>
  <c r="R105" i="1"/>
  <c r="Y105" i="1"/>
  <c r="Z105" i="1" s="1"/>
  <c r="R89" i="1"/>
  <c r="Y89" i="1"/>
  <c r="Z89" i="1" s="1"/>
  <c r="R73" i="1"/>
  <c r="Y73" i="1"/>
  <c r="Z73" i="1" s="1"/>
  <c r="R57" i="1"/>
  <c r="Y57" i="1"/>
  <c r="Z57" i="1" s="1"/>
  <c r="R41" i="1"/>
  <c r="Y41" i="1"/>
  <c r="Z41" i="1" s="1"/>
  <c r="R25" i="1"/>
  <c r="Y25" i="1"/>
  <c r="Z25" i="1" s="1"/>
  <c r="R9" i="1"/>
  <c r="Y9" i="1"/>
  <c r="Z9" i="1" s="1"/>
  <c r="R24" i="1"/>
  <c r="Y24" i="1"/>
  <c r="Z24" i="1" s="1"/>
  <c r="R8" i="1"/>
  <c r="Y8" i="1"/>
  <c r="Z8" i="1" s="1"/>
  <c r="R23" i="1"/>
  <c r="Y23" i="1"/>
  <c r="Z23" i="1" s="1"/>
  <c r="R7" i="1"/>
  <c r="Y7" i="1"/>
  <c r="Z7" i="1" s="1"/>
  <c r="R126" i="1"/>
  <c r="Y126" i="1"/>
  <c r="Z126" i="1" s="1"/>
  <c r="R110" i="1"/>
  <c r="Y110" i="1"/>
  <c r="Z110" i="1" s="1"/>
  <c r="R94" i="1"/>
  <c r="Y94" i="1"/>
  <c r="Z94" i="1" s="1"/>
  <c r="R78" i="1"/>
  <c r="Y78" i="1"/>
  <c r="Z78" i="1" s="1"/>
  <c r="R62" i="1"/>
  <c r="Y62" i="1"/>
  <c r="Z62" i="1" s="1"/>
  <c r="R46" i="1"/>
  <c r="Y46" i="1"/>
  <c r="Z46" i="1" s="1"/>
  <c r="R30" i="1"/>
  <c r="Y30" i="1"/>
  <c r="Z30" i="1" s="1"/>
  <c r="R14" i="1"/>
  <c r="Y14" i="1"/>
  <c r="Z14" i="1" s="1"/>
  <c r="R135" i="1"/>
  <c r="Y135" i="1"/>
  <c r="Z135" i="1" s="1"/>
  <c r="R177" i="1"/>
  <c r="Y177" i="1"/>
  <c r="Z177" i="1" s="1"/>
  <c r="R76" i="1"/>
  <c r="Y76" i="1"/>
  <c r="Z76" i="1" s="1"/>
  <c r="R192" i="1"/>
  <c r="Y192" i="1"/>
  <c r="Z192" i="1" s="1"/>
  <c r="AB192" i="1" s="1"/>
  <c r="R144" i="1"/>
  <c r="Y144" i="1"/>
  <c r="Z144" i="1" s="1"/>
  <c r="R51" i="1"/>
  <c r="Y51" i="1"/>
  <c r="Z51" i="1" s="1"/>
  <c r="R167" i="1"/>
  <c r="Y167" i="1"/>
  <c r="Z167" i="1" s="1"/>
  <c r="R96" i="1"/>
  <c r="Y96" i="1"/>
  <c r="Z96" i="1" s="1"/>
  <c r="R190" i="1"/>
  <c r="Y190" i="1"/>
  <c r="Z190" i="1" s="1"/>
  <c r="R201" i="1"/>
  <c r="Y201" i="1"/>
  <c r="Z201" i="1" s="1"/>
  <c r="R109" i="1"/>
  <c r="Y109" i="1"/>
  <c r="Z109" i="1" s="1"/>
  <c r="R61" i="1"/>
  <c r="Y61" i="1"/>
  <c r="Z61" i="1" s="1"/>
  <c r="R13" i="1"/>
  <c r="Y13" i="1"/>
  <c r="Z13" i="1" s="1"/>
  <c r="R27" i="1"/>
  <c r="Y27" i="1"/>
  <c r="Z27" i="1" s="1"/>
  <c r="R82" i="1"/>
  <c r="Y82" i="1"/>
  <c r="Z82" i="1" s="1"/>
  <c r="R186" i="1"/>
  <c r="Y186" i="1"/>
  <c r="Z186" i="1" s="1"/>
  <c r="R150" i="1"/>
  <c r="Y150" i="1"/>
  <c r="Z150" i="1" s="1"/>
  <c r="R103" i="1"/>
  <c r="Y103" i="1"/>
  <c r="Z103" i="1" s="1"/>
  <c r="R185" i="1"/>
  <c r="Y185" i="1"/>
  <c r="Z185" i="1" s="1"/>
  <c r="R165" i="1"/>
  <c r="Y165" i="1"/>
  <c r="Z165" i="1" s="1"/>
  <c r="R140" i="1"/>
  <c r="Y140" i="1"/>
  <c r="Z140" i="1" s="1"/>
  <c r="R100" i="1"/>
  <c r="Y100" i="1"/>
  <c r="Z100" i="1" s="1"/>
  <c r="R60" i="1"/>
  <c r="Y60" i="1"/>
  <c r="Z60" i="1" s="1"/>
  <c r="R200" i="1"/>
  <c r="Y200" i="1"/>
  <c r="Z200" i="1" s="1"/>
  <c r="R184" i="1"/>
  <c r="Y184" i="1"/>
  <c r="Z184" i="1" s="1"/>
  <c r="AB184" i="1" s="1"/>
  <c r="R168" i="1"/>
  <c r="Y168" i="1"/>
  <c r="Z168" i="1" s="1"/>
  <c r="R152" i="1"/>
  <c r="Y152" i="1"/>
  <c r="Z152" i="1" s="1"/>
  <c r="R131" i="1"/>
  <c r="Y131" i="1"/>
  <c r="Z131" i="1" s="1"/>
  <c r="R99" i="1"/>
  <c r="Y99" i="1"/>
  <c r="Z99" i="1" s="1"/>
  <c r="R67" i="1"/>
  <c r="Y67" i="1"/>
  <c r="Z67" i="1" s="1"/>
  <c r="R207" i="1"/>
  <c r="Y207" i="1"/>
  <c r="Z207" i="1" s="1"/>
  <c r="R191" i="1"/>
  <c r="Y191" i="1"/>
  <c r="Z191" i="1" s="1"/>
  <c r="R175" i="1"/>
  <c r="Y175" i="1"/>
  <c r="Z175" i="1" s="1"/>
  <c r="R159" i="1"/>
  <c r="Y159" i="1"/>
  <c r="Z159" i="1" s="1"/>
  <c r="R143" i="1"/>
  <c r="Y143" i="1"/>
  <c r="Z143" i="1" s="1"/>
  <c r="R112" i="1"/>
  <c r="Y112" i="1"/>
  <c r="Z112" i="1" s="1"/>
  <c r="R80" i="1"/>
  <c r="Y80" i="1"/>
  <c r="Z80" i="1" s="1"/>
  <c r="R48" i="1"/>
  <c r="Y48" i="1"/>
  <c r="Z48" i="1" s="1"/>
  <c r="R55" i="1"/>
  <c r="Y55" i="1"/>
  <c r="Z55" i="1" s="1"/>
  <c r="R174" i="1"/>
  <c r="Y174" i="1"/>
  <c r="Z174" i="1" s="1"/>
  <c r="R127" i="1"/>
  <c r="Y127" i="1"/>
  <c r="Z127" i="1" s="1"/>
  <c r="R63" i="1"/>
  <c r="Y63" i="1"/>
  <c r="Z63" i="1" s="1"/>
  <c r="R173" i="1"/>
  <c r="Y173" i="1"/>
  <c r="Z173" i="1" s="1"/>
  <c r="R92" i="1"/>
  <c r="Y92" i="1"/>
  <c r="Z92" i="1" s="1"/>
  <c r="R133" i="1"/>
  <c r="Y133" i="1"/>
  <c r="Z133" i="1" s="1"/>
  <c r="R117" i="1"/>
  <c r="Y117" i="1"/>
  <c r="Z117" i="1" s="1"/>
  <c r="R101" i="1"/>
  <c r="Y101" i="1"/>
  <c r="Z101" i="1" s="1"/>
  <c r="R85" i="1"/>
  <c r="Y85" i="1"/>
  <c r="Z85" i="1" s="1"/>
  <c r="R69" i="1"/>
  <c r="Y69" i="1"/>
  <c r="Z69" i="1" s="1"/>
  <c r="R53" i="1"/>
  <c r="Y53" i="1"/>
  <c r="Z53" i="1" s="1"/>
  <c r="R37" i="1"/>
  <c r="Y37" i="1"/>
  <c r="Z37" i="1" s="1"/>
  <c r="R21" i="1"/>
  <c r="Y21" i="1"/>
  <c r="Z21" i="1" s="1"/>
  <c r="R36" i="1"/>
  <c r="Y36" i="1"/>
  <c r="Z36" i="1" s="1"/>
  <c r="R20" i="1"/>
  <c r="Y20" i="1"/>
  <c r="Z20" i="1" s="1"/>
  <c r="R35" i="1"/>
  <c r="Y35" i="1"/>
  <c r="Z35" i="1" s="1"/>
  <c r="R19" i="1"/>
  <c r="Y19" i="1"/>
  <c r="Z19" i="1" s="1"/>
  <c r="R138" i="1"/>
  <c r="Y138" i="1"/>
  <c r="Z138" i="1" s="1"/>
  <c r="R122" i="1"/>
  <c r="Y122" i="1"/>
  <c r="Z122" i="1" s="1"/>
  <c r="R106" i="1"/>
  <c r="Y106" i="1"/>
  <c r="Z106" i="1" s="1"/>
  <c r="R90" i="1"/>
  <c r="Y90" i="1"/>
  <c r="Z90" i="1" s="1"/>
  <c r="R74" i="1"/>
  <c r="Y74" i="1"/>
  <c r="Z74" i="1" s="1"/>
  <c r="R58" i="1"/>
  <c r="Y58" i="1"/>
  <c r="Z58" i="1" s="1"/>
  <c r="R42" i="1"/>
  <c r="Y42" i="1"/>
  <c r="Z42" i="1" s="1"/>
  <c r="R26" i="1"/>
  <c r="Y26" i="1"/>
  <c r="Z26" i="1" s="1"/>
  <c r="R10" i="1"/>
  <c r="Y10" i="1"/>
  <c r="Z10" i="1" s="1"/>
  <c r="R170" i="1"/>
  <c r="Y170" i="1"/>
  <c r="Z170" i="1" s="1"/>
  <c r="R197" i="1"/>
  <c r="Y197" i="1"/>
  <c r="Z197" i="1" s="1"/>
  <c r="R116" i="1"/>
  <c r="Y116" i="1"/>
  <c r="Z116" i="1" s="1"/>
  <c r="AB116" i="1" s="1"/>
  <c r="R176" i="1"/>
  <c r="Y176" i="1"/>
  <c r="Z176" i="1" s="1"/>
  <c r="R115" i="1"/>
  <c r="Y115" i="1"/>
  <c r="Z115" i="1" s="1"/>
  <c r="R199" i="1"/>
  <c r="Y199" i="1"/>
  <c r="Z199" i="1" s="1"/>
  <c r="R151" i="1"/>
  <c r="Y151" i="1"/>
  <c r="Z151" i="1" s="1"/>
  <c r="R64" i="1"/>
  <c r="Y64" i="1"/>
  <c r="Z64" i="1" s="1"/>
  <c r="AB64" i="1" s="1"/>
  <c r="R95" i="1"/>
  <c r="Y95" i="1"/>
  <c r="Z95" i="1" s="1"/>
  <c r="R141" i="1"/>
  <c r="Y141" i="1"/>
  <c r="Z141" i="1" s="1"/>
  <c r="R93" i="1"/>
  <c r="Y93" i="1"/>
  <c r="Z93" i="1" s="1"/>
  <c r="R45" i="1"/>
  <c r="Y45" i="1"/>
  <c r="Z45" i="1" s="1"/>
  <c r="R28" i="1"/>
  <c r="Y28" i="1"/>
  <c r="Z28" i="1" s="1"/>
  <c r="R130" i="1"/>
  <c r="Y130" i="1"/>
  <c r="Z130" i="1" s="1"/>
  <c r="R50" i="1"/>
  <c r="Y50" i="1"/>
  <c r="Z50" i="1" s="1"/>
  <c r="R178" i="1"/>
  <c r="Y178" i="1"/>
  <c r="Z178" i="1" s="1"/>
  <c r="R146" i="1"/>
  <c r="Y146" i="1"/>
  <c r="Z146" i="1" s="1"/>
  <c r="R87" i="1"/>
  <c r="Y87" i="1"/>
  <c r="Z87" i="1" s="1"/>
  <c r="R205" i="1"/>
  <c r="Y205" i="1"/>
  <c r="Z205" i="1" s="1"/>
  <c r="R181" i="1"/>
  <c r="Y181" i="1"/>
  <c r="Z181" i="1" s="1"/>
  <c r="R157" i="1"/>
  <c r="Y157" i="1"/>
  <c r="Z157" i="1" s="1"/>
  <c r="R132" i="1"/>
  <c r="Y132" i="1"/>
  <c r="Z132" i="1" s="1"/>
  <c r="R84" i="1"/>
  <c r="Y84" i="1"/>
  <c r="Z84" i="1" s="1"/>
  <c r="R52" i="1"/>
  <c r="Y52" i="1"/>
  <c r="Z52" i="1" s="1"/>
  <c r="R196" i="1"/>
  <c r="Y196" i="1"/>
  <c r="Z196" i="1" s="1"/>
  <c r="R180" i="1"/>
  <c r="Y180" i="1"/>
  <c r="Z180" i="1" s="1"/>
  <c r="R164" i="1"/>
  <c r="Y164" i="1"/>
  <c r="Z164" i="1" s="1"/>
  <c r="R148" i="1"/>
  <c r="Y148" i="1"/>
  <c r="Z148" i="1" s="1"/>
  <c r="R123" i="1"/>
  <c r="Y123" i="1"/>
  <c r="Z123" i="1" s="1"/>
  <c r="R91" i="1"/>
  <c r="Y91" i="1"/>
  <c r="Z91" i="1" s="1"/>
  <c r="R59" i="1"/>
  <c r="Y59" i="1"/>
  <c r="Z59" i="1" s="1"/>
  <c r="R203" i="1"/>
  <c r="Y203" i="1"/>
  <c r="Z203" i="1" s="1"/>
  <c r="R187" i="1"/>
  <c r="Y187" i="1"/>
  <c r="Z187" i="1" s="1"/>
  <c r="R171" i="1"/>
  <c r="Y171" i="1"/>
  <c r="Z171" i="1" s="1"/>
  <c r="R155" i="1"/>
  <c r="Y155" i="1"/>
  <c r="Z155" i="1" s="1"/>
  <c r="R136" i="1"/>
  <c r="Y136" i="1"/>
  <c r="Z136" i="1" s="1"/>
  <c r="R104" i="1"/>
  <c r="Y104" i="1"/>
  <c r="Z104" i="1" s="1"/>
  <c r="R72" i="1"/>
  <c r="Y72" i="1"/>
  <c r="Z72" i="1" s="1"/>
  <c r="R40" i="1"/>
  <c r="Y40" i="1"/>
  <c r="Z40" i="1" s="1"/>
  <c r="R202" i="1"/>
  <c r="Y202" i="1"/>
  <c r="Z202" i="1" s="1"/>
  <c r="R166" i="1"/>
  <c r="Y166" i="1"/>
  <c r="Z166" i="1" s="1"/>
  <c r="R111" i="1"/>
  <c r="Y111" i="1"/>
  <c r="Z111" i="1" s="1"/>
  <c r="R39" i="1"/>
  <c r="Y39" i="1"/>
  <c r="Z39" i="1" s="1"/>
  <c r="R161" i="1"/>
  <c r="Y161" i="1"/>
  <c r="Z161" i="1" s="1"/>
  <c r="R44" i="1"/>
  <c r="Y44" i="1"/>
  <c r="Z44" i="1" s="1"/>
  <c r="R129" i="1"/>
  <c r="Y129" i="1"/>
  <c r="Z129" i="1" s="1"/>
  <c r="R113" i="1"/>
  <c r="Y113" i="1"/>
  <c r="Z113" i="1" s="1"/>
  <c r="R97" i="1"/>
  <c r="Y97" i="1"/>
  <c r="Z97" i="1" s="1"/>
  <c r="R81" i="1"/>
  <c r="Y81" i="1"/>
  <c r="Z81" i="1" s="1"/>
  <c r="R65" i="1"/>
  <c r="Y65" i="1"/>
  <c r="Z65" i="1" s="1"/>
  <c r="R49" i="1"/>
  <c r="Y49" i="1"/>
  <c r="Z49" i="1" s="1"/>
  <c r="R33" i="1"/>
  <c r="Y33" i="1"/>
  <c r="Z33" i="1" s="1"/>
  <c r="R17" i="1"/>
  <c r="Y17" i="1"/>
  <c r="Z17" i="1" s="1"/>
  <c r="R32" i="1"/>
  <c r="Y32" i="1"/>
  <c r="Z32" i="1" s="1"/>
  <c r="R16" i="1"/>
  <c r="Y16" i="1"/>
  <c r="Z16" i="1" s="1"/>
  <c r="R31" i="1"/>
  <c r="Y31" i="1"/>
  <c r="Z31" i="1" s="1"/>
  <c r="R15" i="1"/>
  <c r="Y15" i="1"/>
  <c r="Z15" i="1" s="1"/>
  <c r="R134" i="1"/>
  <c r="Y134" i="1"/>
  <c r="Z134" i="1" s="1"/>
  <c r="R118" i="1"/>
  <c r="Y118" i="1"/>
  <c r="Z118" i="1" s="1"/>
  <c r="R102" i="1"/>
  <c r="Y102" i="1"/>
  <c r="Z102" i="1" s="1"/>
  <c r="R86" i="1"/>
  <c r="Y86" i="1"/>
  <c r="Z86" i="1" s="1"/>
  <c r="R70" i="1"/>
  <c r="Y70" i="1"/>
  <c r="Z70" i="1" s="1"/>
  <c r="R54" i="1"/>
  <c r="Y54" i="1"/>
  <c r="Z54" i="1" s="1"/>
  <c r="R38" i="1"/>
  <c r="Y38" i="1"/>
  <c r="Z38" i="1" s="1"/>
  <c r="R22" i="1"/>
  <c r="Y22" i="1"/>
  <c r="Z22" i="1" s="1"/>
  <c r="R6" i="1"/>
  <c r="Y6" i="1"/>
  <c r="Z6" i="1" s="1"/>
  <c r="AB6" i="1" s="1"/>
  <c r="S5" i="1"/>
  <c r="AB204" i="1" l="1"/>
  <c r="AJ204" i="1" s="1"/>
  <c r="AB40" i="1"/>
  <c r="AL40" i="1" s="1"/>
  <c r="AB56" i="1"/>
  <c r="AF56" i="1" s="1"/>
  <c r="AB16" i="1"/>
  <c r="AE16" i="1" s="1"/>
  <c r="AB24" i="1"/>
  <c r="AF24" i="1" s="1"/>
  <c r="AB172" i="1"/>
  <c r="AD172" i="1" s="1"/>
  <c r="AB144" i="1"/>
  <c r="AK144" i="1" s="1"/>
  <c r="AF116" i="1"/>
  <c r="AJ116" i="1"/>
  <c r="AN116" i="1"/>
  <c r="AE116" i="1"/>
  <c r="AI116" i="1"/>
  <c r="AM116" i="1"/>
  <c r="AG116" i="1"/>
  <c r="AO116" i="1"/>
  <c r="AH116" i="1"/>
  <c r="AP116" i="1"/>
  <c r="AK116" i="1"/>
  <c r="AD116" i="1"/>
  <c r="AL116" i="1"/>
  <c r="AF184" i="1"/>
  <c r="AJ184" i="1"/>
  <c r="AN184" i="1"/>
  <c r="AG184" i="1"/>
  <c r="AK184" i="1"/>
  <c r="AO184" i="1"/>
  <c r="AI184" i="1"/>
  <c r="AD184" i="1"/>
  <c r="AL184" i="1"/>
  <c r="AE184" i="1"/>
  <c r="AM184" i="1"/>
  <c r="AH184" i="1"/>
  <c r="AP184" i="1"/>
  <c r="AF192" i="1"/>
  <c r="AJ192" i="1"/>
  <c r="AN192" i="1"/>
  <c r="AG192" i="1"/>
  <c r="AK192" i="1"/>
  <c r="AO192" i="1"/>
  <c r="AI192" i="1"/>
  <c r="AD192" i="1"/>
  <c r="AL192" i="1"/>
  <c r="AE192" i="1"/>
  <c r="AM192" i="1"/>
  <c r="AH192" i="1"/>
  <c r="AP192" i="1"/>
  <c r="AF64" i="1"/>
  <c r="AJ64" i="1"/>
  <c r="AN64" i="1"/>
  <c r="AG64" i="1"/>
  <c r="AK64" i="1"/>
  <c r="AO64" i="1"/>
  <c r="AD64" i="1"/>
  <c r="AH64" i="1"/>
  <c r="AL64" i="1"/>
  <c r="AP64" i="1"/>
  <c r="AE64" i="1"/>
  <c r="AI64" i="1"/>
  <c r="AM64" i="1"/>
  <c r="AB168" i="1"/>
  <c r="AB112" i="1"/>
  <c r="AB148" i="1"/>
  <c r="AB208" i="1"/>
  <c r="AB128" i="1"/>
  <c r="AB96" i="1"/>
  <c r="AB180" i="1"/>
  <c r="AB136" i="1"/>
  <c r="AB32" i="1"/>
  <c r="AB120" i="1"/>
  <c r="AB44" i="1"/>
  <c r="AB132" i="1"/>
  <c r="AB104" i="1"/>
  <c r="AB72" i="1"/>
  <c r="AB164" i="1"/>
  <c r="AB176" i="1"/>
  <c r="AB200" i="1"/>
  <c r="AB152" i="1"/>
  <c r="AB160" i="1"/>
  <c r="AB149" i="1"/>
  <c r="AP5" i="1"/>
  <c r="AB27" i="1"/>
  <c r="AB43" i="1"/>
  <c r="AB59" i="1"/>
  <c r="AB157" i="1"/>
  <c r="AB188" i="1"/>
  <c r="AB88" i="1"/>
  <c r="AB38" i="1"/>
  <c r="AB196" i="1"/>
  <c r="AB80" i="1"/>
  <c r="AB22" i="1"/>
  <c r="AB54" i="1"/>
  <c r="AB129" i="1"/>
  <c r="AB60" i="1"/>
  <c r="AB108" i="1"/>
  <c r="AB124" i="1"/>
  <c r="AB140" i="1"/>
  <c r="AB156" i="1"/>
  <c r="AB165" i="1"/>
  <c r="AB11" i="1"/>
  <c r="AB141" i="1"/>
  <c r="AB173" i="1"/>
  <c r="AB167" i="1"/>
  <c r="AB55" i="1"/>
  <c r="AB117" i="1"/>
  <c r="AB25" i="1"/>
  <c r="AB103" i="1"/>
  <c r="AB115" i="1"/>
  <c r="AB13" i="1"/>
  <c r="AB45" i="1"/>
  <c r="AB73" i="1"/>
  <c r="AB105" i="1"/>
  <c r="AB169" i="1"/>
  <c r="AB79" i="1"/>
  <c r="AB111" i="1"/>
  <c r="AB143" i="1"/>
  <c r="AB15" i="1"/>
  <c r="AB31" i="1"/>
  <c r="AB47" i="1"/>
  <c r="AB63" i="1"/>
  <c r="AB77" i="1"/>
  <c r="AB93" i="1"/>
  <c r="AB109" i="1"/>
  <c r="AB125" i="1"/>
  <c r="AB91" i="1"/>
  <c r="AB123" i="1"/>
  <c r="AB155" i="1"/>
  <c r="AB17" i="1"/>
  <c r="AB33" i="1"/>
  <c r="AB49" i="1"/>
  <c r="AB65" i="1"/>
  <c r="AB76" i="1"/>
  <c r="AB97" i="1"/>
  <c r="AB193" i="1"/>
  <c r="AB159" i="1"/>
  <c r="AB186" i="1"/>
  <c r="AB206" i="1"/>
  <c r="AB127" i="1"/>
  <c r="AB85" i="1"/>
  <c r="AB9" i="1"/>
  <c r="AB135" i="1"/>
  <c r="AB147" i="1"/>
  <c r="AB61" i="1"/>
  <c r="AB185" i="1"/>
  <c r="AB87" i="1"/>
  <c r="AB119" i="1"/>
  <c r="AB151" i="1"/>
  <c r="AB19" i="1"/>
  <c r="AB35" i="1"/>
  <c r="AB51" i="1"/>
  <c r="AB67" i="1"/>
  <c r="AB99" i="1"/>
  <c r="AB131" i="1"/>
  <c r="AB163" i="1"/>
  <c r="AB21" i="1"/>
  <c r="AB37" i="1"/>
  <c r="AB53" i="1"/>
  <c r="AB68" i="1"/>
  <c r="AB89" i="1"/>
  <c r="AB100" i="1"/>
  <c r="AB113" i="1"/>
  <c r="AB145" i="1"/>
  <c r="AB161" i="1"/>
  <c r="AB177" i="1"/>
  <c r="AB197" i="1"/>
  <c r="AB175" i="1"/>
  <c r="AB190" i="1"/>
  <c r="AB23" i="1"/>
  <c r="AB101" i="1"/>
  <c r="AB75" i="1"/>
  <c r="AB107" i="1"/>
  <c r="AB171" i="1"/>
  <c r="AB41" i="1"/>
  <c r="AB57" i="1"/>
  <c r="AB81" i="1"/>
  <c r="AB92" i="1"/>
  <c r="AB181" i="1"/>
  <c r="AB203" i="1"/>
  <c r="AB194" i="1"/>
  <c r="AB7" i="1"/>
  <c r="AB95" i="1"/>
  <c r="AB39" i="1"/>
  <c r="AB69" i="1"/>
  <c r="AB133" i="1"/>
  <c r="AB139" i="1"/>
  <c r="AB71" i="1"/>
  <c r="AB83" i="1"/>
  <c r="AB29" i="1"/>
  <c r="AB84" i="1"/>
  <c r="AB121" i="1"/>
  <c r="AB137" i="1"/>
  <c r="AB153" i="1"/>
  <c r="AB207" i="1"/>
  <c r="AB198" i="1"/>
  <c r="AB14" i="1"/>
  <c r="AB34" i="1"/>
  <c r="AB90" i="1"/>
  <c r="AB146" i="1"/>
  <c r="AB10" i="1"/>
  <c r="AB26" i="1"/>
  <c r="AB42" i="1"/>
  <c r="AB58" i="1"/>
  <c r="AB66" i="1"/>
  <c r="AB82" i="1"/>
  <c r="AB98" i="1"/>
  <c r="AB114" i="1"/>
  <c r="AB130" i="1"/>
  <c r="AB154" i="1"/>
  <c r="AB202" i="1"/>
  <c r="AB78" i="1"/>
  <c r="AB189" i="1"/>
  <c r="AB201" i="1"/>
  <c r="AB20" i="1"/>
  <c r="AB46" i="1"/>
  <c r="AB170" i="1"/>
  <c r="AB70" i="1"/>
  <c r="AB102" i="1"/>
  <c r="AB118" i="1"/>
  <c r="AB134" i="1"/>
  <c r="AB150" i="1"/>
  <c r="AB166" i="1"/>
  <c r="AB179" i="1"/>
  <c r="AB191" i="1"/>
  <c r="AB205" i="1"/>
  <c r="AB36" i="1"/>
  <c r="AB62" i="1"/>
  <c r="AB162" i="1"/>
  <c r="AB74" i="1"/>
  <c r="AB106" i="1"/>
  <c r="AB122" i="1"/>
  <c r="AB138" i="1"/>
  <c r="AB8" i="1"/>
  <c r="AB178" i="1"/>
  <c r="AB94" i="1"/>
  <c r="AB183" i="1"/>
  <c r="AB195" i="1"/>
  <c r="AB52" i="1"/>
  <c r="AB28" i="1"/>
  <c r="AB30" i="1"/>
  <c r="AB18" i="1"/>
  <c r="AB50" i="1"/>
  <c r="AB12" i="1"/>
  <c r="AB182" i="1"/>
  <c r="AB86" i="1"/>
  <c r="AB110" i="1"/>
  <c r="AB126" i="1"/>
  <c r="AB142" i="1"/>
  <c r="AB158" i="1"/>
  <c r="AB174" i="1"/>
  <c r="AB187" i="1"/>
  <c r="AB199" i="1"/>
  <c r="AB48" i="1"/>
  <c r="AO40" i="1" l="1"/>
  <c r="AJ40" i="1"/>
  <c r="AD204" i="1"/>
  <c r="AK204" i="1"/>
  <c r="AF204" i="1"/>
  <c r="AH204" i="1"/>
  <c r="AE204" i="1"/>
  <c r="AF40" i="1"/>
  <c r="AI204" i="1"/>
  <c r="AG204" i="1"/>
  <c r="AI40" i="1"/>
  <c r="AP40" i="1"/>
  <c r="AL204" i="1"/>
  <c r="AM204" i="1"/>
  <c r="AN204" i="1"/>
  <c r="AN16" i="1"/>
  <c r="AK40" i="1"/>
  <c r="AD40" i="1"/>
  <c r="AP204" i="1"/>
  <c r="AO204" i="1"/>
  <c r="AO16" i="1"/>
  <c r="AM40" i="1"/>
  <c r="AG40" i="1"/>
  <c r="AH40" i="1"/>
  <c r="AG24" i="1"/>
  <c r="AE40" i="1"/>
  <c r="AN40" i="1"/>
  <c r="AD24" i="1"/>
  <c r="AM24" i="1"/>
  <c r="AP24" i="1"/>
  <c r="AN24" i="1"/>
  <c r="AI24" i="1"/>
  <c r="AO24" i="1"/>
  <c r="AL24" i="1"/>
  <c r="AJ24" i="1"/>
  <c r="AE24" i="1"/>
  <c r="AK24" i="1"/>
  <c r="AH24" i="1"/>
  <c r="AO56" i="1"/>
  <c r="AG56" i="1"/>
  <c r="AH16" i="1"/>
  <c r="AM56" i="1"/>
  <c r="AF16" i="1"/>
  <c r="AP16" i="1"/>
  <c r="AI16" i="1"/>
  <c r="AP56" i="1"/>
  <c r="AI56" i="1"/>
  <c r="AK172" i="1"/>
  <c r="AH56" i="1"/>
  <c r="AN56" i="1"/>
  <c r="AE56" i="1"/>
  <c r="AF172" i="1"/>
  <c r="AD56" i="1"/>
  <c r="AJ56" i="1"/>
  <c r="AP172" i="1"/>
  <c r="AK16" i="1"/>
  <c r="AD16" i="1"/>
  <c r="AM16" i="1"/>
  <c r="AG172" i="1"/>
  <c r="AM172" i="1"/>
  <c r="AL172" i="1"/>
  <c r="AL56" i="1"/>
  <c r="AK56" i="1"/>
  <c r="AN144" i="1"/>
  <c r="AN172" i="1"/>
  <c r="AI172" i="1"/>
  <c r="AH172" i="1"/>
  <c r="AG16" i="1"/>
  <c r="AL16" i="1"/>
  <c r="AJ16" i="1"/>
  <c r="AO172" i="1"/>
  <c r="AJ172" i="1"/>
  <c r="AE172" i="1"/>
  <c r="AI144" i="1"/>
  <c r="AE144" i="1"/>
  <c r="AH144" i="1"/>
  <c r="AP144" i="1"/>
  <c r="AJ144" i="1"/>
  <c r="AO144" i="1"/>
  <c r="AL144" i="1"/>
  <c r="AF144" i="1"/>
  <c r="AG144" i="1"/>
  <c r="AD144" i="1"/>
  <c r="AM144" i="1"/>
  <c r="AE126" i="1"/>
  <c r="AI126" i="1"/>
  <c r="AM126" i="1"/>
  <c r="AF126" i="1"/>
  <c r="AJ126" i="1"/>
  <c r="AN126" i="1"/>
  <c r="AG126" i="1"/>
  <c r="AK126" i="1"/>
  <c r="AO126" i="1"/>
  <c r="AD126" i="1"/>
  <c r="AH126" i="1"/>
  <c r="AL126" i="1"/>
  <c r="AP126" i="1"/>
  <c r="AE12" i="1"/>
  <c r="AI12" i="1"/>
  <c r="AM12" i="1"/>
  <c r="AF12" i="1"/>
  <c r="AJ12" i="1"/>
  <c r="AN12" i="1"/>
  <c r="AD12" i="1"/>
  <c r="AH12" i="1"/>
  <c r="AL12" i="1"/>
  <c r="AP12" i="1"/>
  <c r="AO12" i="1"/>
  <c r="AG12" i="1"/>
  <c r="AK12" i="1"/>
  <c r="AE28" i="1"/>
  <c r="AI28" i="1"/>
  <c r="AM28" i="1"/>
  <c r="AF28" i="1"/>
  <c r="AJ28" i="1"/>
  <c r="AN28" i="1"/>
  <c r="AD28" i="1"/>
  <c r="AH28" i="1"/>
  <c r="AL28" i="1"/>
  <c r="AP28" i="1"/>
  <c r="AO28" i="1"/>
  <c r="AG28" i="1"/>
  <c r="AK28" i="1"/>
  <c r="AD94" i="1"/>
  <c r="AH94" i="1"/>
  <c r="AL94" i="1"/>
  <c r="AP94" i="1"/>
  <c r="AF94" i="1"/>
  <c r="AJ94" i="1"/>
  <c r="AN94" i="1"/>
  <c r="AG94" i="1"/>
  <c r="AK94" i="1"/>
  <c r="AO94" i="1"/>
  <c r="AI94" i="1"/>
  <c r="AM94" i="1"/>
  <c r="AE94" i="1"/>
  <c r="AD122" i="1"/>
  <c r="AH122" i="1"/>
  <c r="AL122" i="1"/>
  <c r="AP122" i="1"/>
  <c r="AF122" i="1"/>
  <c r="AK122" i="1"/>
  <c r="AG122" i="1"/>
  <c r="AM122" i="1"/>
  <c r="AI122" i="1"/>
  <c r="AN122" i="1"/>
  <c r="AE122" i="1"/>
  <c r="AJ122" i="1"/>
  <c r="AO122" i="1"/>
  <c r="AD62" i="1"/>
  <c r="AH62" i="1"/>
  <c r="AL62" i="1"/>
  <c r="AP62" i="1"/>
  <c r="AE62" i="1"/>
  <c r="AI62" i="1"/>
  <c r="AM62" i="1"/>
  <c r="AF62" i="1"/>
  <c r="AJ62" i="1"/>
  <c r="AN62" i="1"/>
  <c r="AO62" i="1"/>
  <c r="AG62" i="1"/>
  <c r="AK62" i="1"/>
  <c r="AF205" i="1"/>
  <c r="AJ205" i="1"/>
  <c r="AG205" i="1"/>
  <c r="AL205" i="1"/>
  <c r="AP205" i="1"/>
  <c r="AH205" i="1"/>
  <c r="AM205" i="1"/>
  <c r="AD205" i="1"/>
  <c r="AI205" i="1"/>
  <c r="AN205" i="1"/>
  <c r="AE205" i="1"/>
  <c r="AK205" i="1"/>
  <c r="AO205" i="1"/>
  <c r="AE179" i="1"/>
  <c r="AI179" i="1"/>
  <c r="AM179" i="1"/>
  <c r="AG179" i="1"/>
  <c r="AK179" i="1"/>
  <c r="AO179" i="1"/>
  <c r="AD179" i="1"/>
  <c r="AH179" i="1"/>
  <c r="AL179" i="1"/>
  <c r="AP179" i="1"/>
  <c r="AN179" i="1"/>
  <c r="AF179" i="1"/>
  <c r="AJ179" i="1"/>
  <c r="AE150" i="1"/>
  <c r="AI150" i="1"/>
  <c r="AM150" i="1"/>
  <c r="AG150" i="1"/>
  <c r="AK150" i="1"/>
  <c r="AO150" i="1"/>
  <c r="AD150" i="1"/>
  <c r="AH150" i="1"/>
  <c r="AL150" i="1"/>
  <c r="AP150" i="1"/>
  <c r="AF150" i="1"/>
  <c r="AJ150" i="1"/>
  <c r="AN150" i="1"/>
  <c r="AD118" i="1"/>
  <c r="AH118" i="1"/>
  <c r="AL118" i="1"/>
  <c r="AP118" i="1"/>
  <c r="AG118" i="1"/>
  <c r="AK118" i="1"/>
  <c r="AO118" i="1"/>
  <c r="AE118" i="1"/>
  <c r="AM118" i="1"/>
  <c r="AF118" i="1"/>
  <c r="AN118" i="1"/>
  <c r="AI118" i="1"/>
  <c r="AJ118" i="1"/>
  <c r="AD70" i="1"/>
  <c r="AH70" i="1"/>
  <c r="AL70" i="1"/>
  <c r="AP70" i="1"/>
  <c r="AE70" i="1"/>
  <c r="AI70" i="1"/>
  <c r="AM70" i="1"/>
  <c r="AF70" i="1"/>
  <c r="AJ70" i="1"/>
  <c r="AN70" i="1"/>
  <c r="AG70" i="1"/>
  <c r="AK70" i="1"/>
  <c r="AO70" i="1"/>
  <c r="AF46" i="1"/>
  <c r="AJ46" i="1"/>
  <c r="AN46" i="1"/>
  <c r="AD46" i="1"/>
  <c r="AH46" i="1"/>
  <c r="AL46" i="1"/>
  <c r="AP46" i="1"/>
  <c r="AE46" i="1"/>
  <c r="AI46" i="1"/>
  <c r="AM46" i="1"/>
  <c r="AG46" i="1"/>
  <c r="AK46" i="1"/>
  <c r="AO46" i="1"/>
  <c r="AE201" i="1"/>
  <c r="AI201" i="1"/>
  <c r="AM201" i="1"/>
  <c r="AF201" i="1"/>
  <c r="AJ201" i="1"/>
  <c r="AN201" i="1"/>
  <c r="AD201" i="1"/>
  <c r="AL201" i="1"/>
  <c r="AG201" i="1"/>
  <c r="AO201" i="1"/>
  <c r="AH201" i="1"/>
  <c r="AP201" i="1"/>
  <c r="AK201" i="1"/>
  <c r="AD78" i="1"/>
  <c r="AH78" i="1"/>
  <c r="AL78" i="1"/>
  <c r="AP78" i="1"/>
  <c r="AE78" i="1"/>
  <c r="AI78" i="1"/>
  <c r="AM78" i="1"/>
  <c r="AF78" i="1"/>
  <c r="AJ78" i="1"/>
  <c r="AN78" i="1"/>
  <c r="AG78" i="1"/>
  <c r="AK78" i="1"/>
  <c r="AO78" i="1"/>
  <c r="AE154" i="1"/>
  <c r="AI154" i="1"/>
  <c r="AM154" i="1"/>
  <c r="AG154" i="1"/>
  <c r="AK154" i="1"/>
  <c r="AO154" i="1"/>
  <c r="AD154" i="1"/>
  <c r="AH154" i="1"/>
  <c r="AL154" i="1"/>
  <c r="AP154" i="1"/>
  <c r="AF154" i="1"/>
  <c r="AJ154" i="1"/>
  <c r="AN154" i="1"/>
  <c r="AD114" i="1"/>
  <c r="AH114" i="1"/>
  <c r="AL114" i="1"/>
  <c r="AP114" i="1"/>
  <c r="AF114" i="1"/>
  <c r="AJ114" i="1"/>
  <c r="AN114" i="1"/>
  <c r="AG114" i="1"/>
  <c r="AK114" i="1"/>
  <c r="AO114" i="1"/>
  <c r="AE114" i="1"/>
  <c r="AI114" i="1"/>
  <c r="AM114" i="1"/>
  <c r="AD82" i="1"/>
  <c r="AH82" i="1"/>
  <c r="AL82" i="1"/>
  <c r="AP82" i="1"/>
  <c r="AE82" i="1"/>
  <c r="AI82" i="1"/>
  <c r="AM82" i="1"/>
  <c r="AF82" i="1"/>
  <c r="AJ82" i="1"/>
  <c r="AN82" i="1"/>
  <c r="AG82" i="1"/>
  <c r="AK82" i="1"/>
  <c r="AO82" i="1"/>
  <c r="AG58" i="1"/>
  <c r="AK58" i="1"/>
  <c r="AO58" i="1"/>
  <c r="AD58" i="1"/>
  <c r="AH58" i="1"/>
  <c r="AL58" i="1"/>
  <c r="AP58" i="1"/>
  <c r="AE58" i="1"/>
  <c r="AI58" i="1"/>
  <c r="AM58" i="1"/>
  <c r="AF58" i="1"/>
  <c r="AJ58" i="1"/>
  <c r="AN58" i="1"/>
  <c r="AG26" i="1"/>
  <c r="AK26" i="1"/>
  <c r="AO26" i="1"/>
  <c r="AD26" i="1"/>
  <c r="AH26" i="1"/>
  <c r="AL26" i="1"/>
  <c r="AP26" i="1"/>
  <c r="AF26" i="1"/>
  <c r="AJ26" i="1"/>
  <c r="AN26" i="1"/>
  <c r="AI26" i="1"/>
  <c r="AM26" i="1"/>
  <c r="AE26" i="1"/>
  <c r="AE146" i="1"/>
  <c r="AI146" i="1"/>
  <c r="AM146" i="1"/>
  <c r="AG146" i="1"/>
  <c r="AK146" i="1"/>
  <c r="AO146" i="1"/>
  <c r="AD146" i="1"/>
  <c r="AH146" i="1"/>
  <c r="AL146" i="1"/>
  <c r="AP146" i="1"/>
  <c r="AJ146" i="1"/>
  <c r="AN146" i="1"/>
  <c r="AF146" i="1"/>
  <c r="AD90" i="1"/>
  <c r="AH90" i="1"/>
  <c r="AL90" i="1"/>
  <c r="AP90" i="1"/>
  <c r="AE90" i="1"/>
  <c r="AF90" i="1"/>
  <c r="AJ90" i="1"/>
  <c r="AN90" i="1"/>
  <c r="AG90" i="1"/>
  <c r="AK90" i="1"/>
  <c r="AO90" i="1"/>
  <c r="AM90" i="1"/>
  <c r="AI90" i="1"/>
  <c r="AG14" i="1"/>
  <c r="AK14" i="1"/>
  <c r="AO14" i="1"/>
  <c r="AD14" i="1"/>
  <c r="AH14" i="1"/>
  <c r="AL14" i="1"/>
  <c r="AP14" i="1"/>
  <c r="AF14" i="1"/>
  <c r="AJ14" i="1"/>
  <c r="AN14" i="1"/>
  <c r="AE14" i="1"/>
  <c r="AI14" i="1"/>
  <c r="AM14" i="1"/>
  <c r="AD186" i="1"/>
  <c r="AH186" i="1"/>
  <c r="AL186" i="1"/>
  <c r="AP186" i="1"/>
  <c r="AE186" i="1"/>
  <c r="AI186" i="1"/>
  <c r="AM186" i="1"/>
  <c r="AG186" i="1"/>
  <c r="AO186" i="1"/>
  <c r="AJ186" i="1"/>
  <c r="AK186" i="1"/>
  <c r="AF186" i="1"/>
  <c r="AN186" i="1"/>
  <c r="AE193" i="1"/>
  <c r="AI193" i="1"/>
  <c r="AM193" i="1"/>
  <c r="AF193" i="1"/>
  <c r="AJ193" i="1"/>
  <c r="AN193" i="1"/>
  <c r="AD193" i="1"/>
  <c r="AL193" i="1"/>
  <c r="AG193" i="1"/>
  <c r="AO193" i="1"/>
  <c r="AH193" i="1"/>
  <c r="AP193" i="1"/>
  <c r="AK193" i="1"/>
  <c r="AF76" i="1"/>
  <c r="AJ76" i="1"/>
  <c r="AN76" i="1"/>
  <c r="AG76" i="1"/>
  <c r="AK76" i="1"/>
  <c r="AO76" i="1"/>
  <c r="AD76" i="1"/>
  <c r="AH76" i="1"/>
  <c r="AL76" i="1"/>
  <c r="AP76" i="1"/>
  <c r="AE76" i="1"/>
  <c r="AI76" i="1"/>
  <c r="AM76" i="1"/>
  <c r="AG49" i="1"/>
  <c r="AK49" i="1"/>
  <c r="AO49" i="1"/>
  <c r="AE49" i="1"/>
  <c r="AI49" i="1"/>
  <c r="AM49" i="1"/>
  <c r="AF49" i="1"/>
  <c r="AJ49" i="1"/>
  <c r="AN49" i="1"/>
  <c r="AL49" i="1"/>
  <c r="AP49" i="1"/>
  <c r="AD49" i="1"/>
  <c r="AH49" i="1"/>
  <c r="AD17" i="1"/>
  <c r="AH17" i="1"/>
  <c r="AL17" i="1"/>
  <c r="AP17" i="1"/>
  <c r="AE17" i="1"/>
  <c r="AI17" i="1"/>
  <c r="AM17" i="1"/>
  <c r="AG17" i="1"/>
  <c r="AK17" i="1"/>
  <c r="AO17" i="1"/>
  <c r="AN17" i="1"/>
  <c r="AF17" i="1"/>
  <c r="AJ17" i="1"/>
  <c r="AD123" i="1"/>
  <c r="AH123" i="1"/>
  <c r="AL123" i="1"/>
  <c r="AP123" i="1"/>
  <c r="AE123" i="1"/>
  <c r="AI123" i="1"/>
  <c r="AM123" i="1"/>
  <c r="AF123" i="1"/>
  <c r="AJ123" i="1"/>
  <c r="AN123" i="1"/>
  <c r="AG123" i="1"/>
  <c r="AK123" i="1"/>
  <c r="AO123" i="1"/>
  <c r="AF125" i="1"/>
  <c r="AJ125" i="1"/>
  <c r="AN125" i="1"/>
  <c r="AG125" i="1"/>
  <c r="AK125" i="1"/>
  <c r="AO125" i="1"/>
  <c r="AD125" i="1"/>
  <c r="AH125" i="1"/>
  <c r="AL125" i="1"/>
  <c r="AP125" i="1"/>
  <c r="AE125" i="1"/>
  <c r="AI125" i="1"/>
  <c r="AM125" i="1"/>
  <c r="AE93" i="1"/>
  <c r="AI93" i="1"/>
  <c r="AM93" i="1"/>
  <c r="AG93" i="1"/>
  <c r="AK93" i="1"/>
  <c r="AO93" i="1"/>
  <c r="AD93" i="1"/>
  <c r="AH93" i="1"/>
  <c r="AL93" i="1"/>
  <c r="AP93" i="1"/>
  <c r="AF93" i="1"/>
  <c r="AJ93" i="1"/>
  <c r="AN93" i="1"/>
  <c r="AG63" i="1"/>
  <c r="AK63" i="1"/>
  <c r="AO63" i="1"/>
  <c r="AD63" i="1"/>
  <c r="AH63" i="1"/>
  <c r="AL63" i="1"/>
  <c r="AP63" i="1"/>
  <c r="AE63" i="1"/>
  <c r="AI63" i="1"/>
  <c r="AM63" i="1"/>
  <c r="AF63" i="1"/>
  <c r="AJ63" i="1"/>
  <c r="AN63" i="1"/>
  <c r="AE31" i="1"/>
  <c r="AI31" i="1"/>
  <c r="AM31" i="1"/>
  <c r="AF31" i="1"/>
  <c r="AJ31" i="1"/>
  <c r="AN31" i="1"/>
  <c r="AG31" i="1"/>
  <c r="AK31" i="1"/>
  <c r="AO31" i="1"/>
  <c r="AD31" i="1"/>
  <c r="AH31" i="1"/>
  <c r="AL31" i="1"/>
  <c r="AP31" i="1"/>
  <c r="AD143" i="1"/>
  <c r="AH143" i="1"/>
  <c r="AL143" i="1"/>
  <c r="AP143" i="1"/>
  <c r="AF143" i="1"/>
  <c r="AJ143" i="1"/>
  <c r="AN143" i="1"/>
  <c r="AG143" i="1"/>
  <c r="AK143" i="1"/>
  <c r="AO143" i="1"/>
  <c r="AE143" i="1"/>
  <c r="AI143" i="1"/>
  <c r="AM143" i="1"/>
  <c r="AG79" i="1"/>
  <c r="AK79" i="1"/>
  <c r="AO79" i="1"/>
  <c r="AD79" i="1"/>
  <c r="AH79" i="1"/>
  <c r="AL79" i="1"/>
  <c r="AP79" i="1"/>
  <c r="AE79" i="1"/>
  <c r="AI79" i="1"/>
  <c r="AM79" i="1"/>
  <c r="AF79" i="1"/>
  <c r="AJ79" i="1"/>
  <c r="AN79" i="1"/>
  <c r="AE105" i="1"/>
  <c r="AI105" i="1"/>
  <c r="AM105" i="1"/>
  <c r="AG105" i="1"/>
  <c r="AK105" i="1"/>
  <c r="AO105" i="1"/>
  <c r="AD105" i="1"/>
  <c r="AH105" i="1"/>
  <c r="AL105" i="1"/>
  <c r="AP105" i="1"/>
  <c r="AJ105" i="1"/>
  <c r="AN105" i="1"/>
  <c r="AF105" i="1"/>
  <c r="AG45" i="1"/>
  <c r="AK45" i="1"/>
  <c r="AO45" i="1"/>
  <c r="AE45" i="1"/>
  <c r="AI45" i="1"/>
  <c r="AM45" i="1"/>
  <c r="AF45" i="1"/>
  <c r="AJ45" i="1"/>
  <c r="AN45" i="1"/>
  <c r="AP45" i="1"/>
  <c r="AD45" i="1"/>
  <c r="AH45" i="1"/>
  <c r="AL45" i="1"/>
  <c r="AG115" i="1"/>
  <c r="AK115" i="1"/>
  <c r="AO115" i="1"/>
  <c r="AE115" i="1"/>
  <c r="AI115" i="1"/>
  <c r="AM115" i="1"/>
  <c r="AF115" i="1"/>
  <c r="AJ115" i="1"/>
  <c r="AN115" i="1"/>
  <c r="AH115" i="1"/>
  <c r="AL115" i="1"/>
  <c r="AP115" i="1"/>
  <c r="AD115" i="1"/>
  <c r="AD25" i="1"/>
  <c r="AH25" i="1"/>
  <c r="AL25" i="1"/>
  <c r="AP25" i="1"/>
  <c r="AE25" i="1"/>
  <c r="AI25" i="1"/>
  <c r="AM25" i="1"/>
  <c r="AG25" i="1"/>
  <c r="AK25" i="1"/>
  <c r="AO25" i="1"/>
  <c r="AF25" i="1"/>
  <c r="AJ25" i="1"/>
  <c r="AN25" i="1"/>
  <c r="AF55" i="1"/>
  <c r="AJ55" i="1"/>
  <c r="AN55" i="1"/>
  <c r="AG55" i="1"/>
  <c r="AK55" i="1"/>
  <c r="AO55" i="1"/>
  <c r="AD55" i="1"/>
  <c r="AH55" i="1"/>
  <c r="AL55" i="1"/>
  <c r="AP55" i="1"/>
  <c r="AE55" i="1"/>
  <c r="AI55" i="1"/>
  <c r="AM55" i="1"/>
  <c r="AG156" i="1"/>
  <c r="AK156" i="1"/>
  <c r="AO156" i="1"/>
  <c r="AE156" i="1"/>
  <c r="AI156" i="1"/>
  <c r="AM156" i="1"/>
  <c r="AF156" i="1"/>
  <c r="AJ156" i="1"/>
  <c r="AN156" i="1"/>
  <c r="AH156" i="1"/>
  <c r="AL156" i="1"/>
  <c r="AP156" i="1"/>
  <c r="AD156" i="1"/>
  <c r="AE60" i="1"/>
  <c r="AI60" i="1"/>
  <c r="AM60" i="1"/>
  <c r="AF60" i="1"/>
  <c r="AJ60" i="1"/>
  <c r="AN60" i="1"/>
  <c r="AG60" i="1"/>
  <c r="AK60" i="1"/>
  <c r="AO60" i="1"/>
  <c r="AD60" i="1"/>
  <c r="AH60" i="1"/>
  <c r="AL60" i="1"/>
  <c r="AP60" i="1"/>
  <c r="AG54" i="1"/>
  <c r="AK54" i="1"/>
  <c r="AO54" i="1"/>
  <c r="AD54" i="1"/>
  <c r="AH54" i="1"/>
  <c r="AL54" i="1"/>
  <c r="AP54" i="1"/>
  <c r="AE54" i="1"/>
  <c r="AI54" i="1"/>
  <c r="AM54" i="1"/>
  <c r="AF54" i="1"/>
  <c r="AJ54" i="1"/>
  <c r="AN54" i="1"/>
  <c r="AF196" i="1"/>
  <c r="AJ196" i="1"/>
  <c r="AN196" i="1"/>
  <c r="AG196" i="1"/>
  <c r="AK196" i="1"/>
  <c r="AO196" i="1"/>
  <c r="AE196" i="1"/>
  <c r="AM196" i="1"/>
  <c r="AH196" i="1"/>
  <c r="AP196" i="1"/>
  <c r="AI196" i="1"/>
  <c r="AD196" i="1"/>
  <c r="AL196" i="1"/>
  <c r="AF188" i="1"/>
  <c r="AJ188" i="1"/>
  <c r="AN188" i="1"/>
  <c r="AG188" i="1"/>
  <c r="AK188" i="1"/>
  <c r="AO188" i="1"/>
  <c r="AE188" i="1"/>
  <c r="AM188" i="1"/>
  <c r="AH188" i="1"/>
  <c r="AP188" i="1"/>
  <c r="AI188" i="1"/>
  <c r="AD188" i="1"/>
  <c r="AL188" i="1"/>
  <c r="AF59" i="1"/>
  <c r="AJ59" i="1"/>
  <c r="AN59" i="1"/>
  <c r="AG59" i="1"/>
  <c r="AK59" i="1"/>
  <c r="AO59" i="1"/>
  <c r="AD59" i="1"/>
  <c r="AH59" i="1"/>
  <c r="AL59" i="1"/>
  <c r="AP59" i="1"/>
  <c r="AE59" i="1"/>
  <c r="AI59" i="1"/>
  <c r="AM59" i="1"/>
  <c r="AF149" i="1"/>
  <c r="AJ149" i="1"/>
  <c r="AN149" i="1"/>
  <c r="AD149" i="1"/>
  <c r="AH149" i="1"/>
  <c r="AL149" i="1"/>
  <c r="AP149" i="1"/>
  <c r="AE149" i="1"/>
  <c r="AI149" i="1"/>
  <c r="AM149" i="1"/>
  <c r="AG149" i="1"/>
  <c r="AK149" i="1"/>
  <c r="AO149" i="1"/>
  <c r="AD176" i="1"/>
  <c r="AH176" i="1"/>
  <c r="AL176" i="1"/>
  <c r="AP176" i="1"/>
  <c r="AF176" i="1"/>
  <c r="AJ176" i="1"/>
  <c r="AN176" i="1"/>
  <c r="AG176" i="1"/>
  <c r="AK176" i="1"/>
  <c r="AO176" i="1"/>
  <c r="AE176" i="1"/>
  <c r="AI176" i="1"/>
  <c r="AM176" i="1"/>
  <c r="AG132" i="1"/>
  <c r="AK132" i="1"/>
  <c r="AO132" i="1"/>
  <c r="AD132" i="1"/>
  <c r="AH132" i="1"/>
  <c r="AL132" i="1"/>
  <c r="AP132" i="1"/>
  <c r="AE132" i="1"/>
  <c r="AI132" i="1"/>
  <c r="AM132" i="1"/>
  <c r="AF132" i="1"/>
  <c r="AJ132" i="1"/>
  <c r="AN132" i="1"/>
  <c r="AF96" i="1"/>
  <c r="AJ96" i="1"/>
  <c r="AN96" i="1"/>
  <c r="AD96" i="1"/>
  <c r="AH96" i="1"/>
  <c r="AL96" i="1"/>
  <c r="AP96" i="1"/>
  <c r="AE96" i="1"/>
  <c r="AI96" i="1"/>
  <c r="AM96" i="1"/>
  <c r="AO96" i="1"/>
  <c r="AG96" i="1"/>
  <c r="AK96" i="1"/>
  <c r="AD168" i="1"/>
  <c r="AH168" i="1"/>
  <c r="AL168" i="1"/>
  <c r="AP168" i="1"/>
  <c r="AE168" i="1"/>
  <c r="AI168" i="1"/>
  <c r="AM168" i="1"/>
  <c r="AF168" i="1"/>
  <c r="AJ168" i="1"/>
  <c r="AN168" i="1"/>
  <c r="AG168" i="1"/>
  <c r="AK168" i="1"/>
  <c r="AO168" i="1"/>
  <c r="AE158" i="1"/>
  <c r="AI158" i="1"/>
  <c r="AD158" i="1"/>
  <c r="AH158" i="1"/>
  <c r="AJ158" i="1"/>
  <c r="AN158" i="1"/>
  <c r="AK158" i="1"/>
  <c r="AO158" i="1"/>
  <c r="AF158" i="1"/>
  <c r="AL158" i="1"/>
  <c r="AP158" i="1"/>
  <c r="AG158" i="1"/>
  <c r="AM158" i="1"/>
  <c r="AD86" i="1"/>
  <c r="AH86" i="1"/>
  <c r="AL86" i="1"/>
  <c r="AP86" i="1"/>
  <c r="AE86" i="1"/>
  <c r="AI86" i="1"/>
  <c r="AM86" i="1"/>
  <c r="AF86" i="1"/>
  <c r="AJ86" i="1"/>
  <c r="AN86" i="1"/>
  <c r="AG86" i="1"/>
  <c r="AK86" i="1"/>
  <c r="AO86" i="1"/>
  <c r="AG18" i="1"/>
  <c r="AK18" i="1"/>
  <c r="AO18" i="1"/>
  <c r="AD18" i="1"/>
  <c r="AH18" i="1"/>
  <c r="AL18" i="1"/>
  <c r="AP18" i="1"/>
  <c r="AF18" i="1"/>
  <c r="AJ18" i="1"/>
  <c r="AN18" i="1"/>
  <c r="AE18" i="1"/>
  <c r="AI18" i="1"/>
  <c r="AM18" i="1"/>
  <c r="AG195" i="1"/>
  <c r="AK195" i="1"/>
  <c r="AO195" i="1"/>
  <c r="AD195" i="1"/>
  <c r="AH195" i="1"/>
  <c r="AL195" i="1"/>
  <c r="AP195" i="1"/>
  <c r="AJ195" i="1"/>
  <c r="AE195" i="1"/>
  <c r="AM195" i="1"/>
  <c r="AF195" i="1"/>
  <c r="AN195" i="1"/>
  <c r="AI195" i="1"/>
  <c r="AE8" i="1"/>
  <c r="AI8" i="1"/>
  <c r="AM8" i="1"/>
  <c r="AF8" i="1"/>
  <c r="AJ8" i="1"/>
  <c r="AN8" i="1"/>
  <c r="AD8" i="1"/>
  <c r="AH8" i="1"/>
  <c r="AL8" i="1"/>
  <c r="AP8" i="1"/>
  <c r="AG8" i="1"/>
  <c r="AK8" i="1"/>
  <c r="AO8" i="1"/>
  <c r="AF74" i="1"/>
  <c r="AJ74" i="1"/>
  <c r="AN74" i="1"/>
  <c r="AH74" i="1"/>
  <c r="AM74" i="1"/>
  <c r="AD74" i="1"/>
  <c r="AI74" i="1"/>
  <c r="AO74" i="1"/>
  <c r="AE74" i="1"/>
  <c r="AK74" i="1"/>
  <c r="AP74" i="1"/>
  <c r="AG74" i="1"/>
  <c r="AL74" i="1"/>
  <c r="AF207" i="1"/>
  <c r="AJ207" i="1"/>
  <c r="AN207" i="1"/>
  <c r="AG207" i="1"/>
  <c r="AK207" i="1"/>
  <c r="AO207" i="1"/>
  <c r="AD207" i="1"/>
  <c r="AH207" i="1"/>
  <c r="AL207" i="1"/>
  <c r="AP207" i="1"/>
  <c r="AE207" i="1"/>
  <c r="AI207" i="1"/>
  <c r="AM207" i="1"/>
  <c r="AF137" i="1"/>
  <c r="AJ137" i="1"/>
  <c r="AN137" i="1"/>
  <c r="AG137" i="1"/>
  <c r="AK137" i="1"/>
  <c r="AO137" i="1"/>
  <c r="AD137" i="1"/>
  <c r="AH137" i="1"/>
  <c r="AL137" i="1"/>
  <c r="AP137" i="1"/>
  <c r="AE137" i="1"/>
  <c r="AI137" i="1"/>
  <c r="AM137" i="1"/>
  <c r="AF84" i="1"/>
  <c r="AJ84" i="1"/>
  <c r="AN84" i="1"/>
  <c r="AG84" i="1"/>
  <c r="AK84" i="1"/>
  <c r="AO84" i="1"/>
  <c r="AD84" i="1"/>
  <c r="AH84" i="1"/>
  <c r="AL84" i="1"/>
  <c r="AP84" i="1"/>
  <c r="AE84" i="1"/>
  <c r="AI84" i="1"/>
  <c r="AM84" i="1"/>
  <c r="AG83" i="1"/>
  <c r="AK83" i="1"/>
  <c r="AO83" i="1"/>
  <c r="AD83" i="1"/>
  <c r="AH83" i="1"/>
  <c r="AL83" i="1"/>
  <c r="AP83" i="1"/>
  <c r="AE83" i="1"/>
  <c r="AI83" i="1"/>
  <c r="AM83" i="1"/>
  <c r="AF83" i="1"/>
  <c r="AJ83" i="1"/>
  <c r="AN83" i="1"/>
  <c r="AD139" i="1"/>
  <c r="AH139" i="1"/>
  <c r="AL139" i="1"/>
  <c r="AP139" i="1"/>
  <c r="AF139" i="1"/>
  <c r="AJ139" i="1"/>
  <c r="AN139" i="1"/>
  <c r="AG139" i="1"/>
  <c r="AK139" i="1"/>
  <c r="AO139" i="1"/>
  <c r="AE139" i="1"/>
  <c r="AI139" i="1"/>
  <c r="AM139" i="1"/>
  <c r="AE69" i="1"/>
  <c r="AI69" i="1"/>
  <c r="AM69" i="1"/>
  <c r="AF69" i="1"/>
  <c r="AJ69" i="1"/>
  <c r="AN69" i="1"/>
  <c r="AG69" i="1"/>
  <c r="AK69" i="1"/>
  <c r="AO69" i="1"/>
  <c r="AD69" i="1"/>
  <c r="AH69" i="1"/>
  <c r="AL69" i="1"/>
  <c r="AP69" i="1"/>
  <c r="AG95" i="1"/>
  <c r="AK95" i="1"/>
  <c r="AO95" i="1"/>
  <c r="AE95" i="1"/>
  <c r="AI95" i="1"/>
  <c r="AM95" i="1"/>
  <c r="AF95" i="1"/>
  <c r="AJ95" i="1"/>
  <c r="AN95" i="1"/>
  <c r="AL95" i="1"/>
  <c r="AP95" i="1"/>
  <c r="AD95" i="1"/>
  <c r="AH95" i="1"/>
  <c r="AD194" i="1"/>
  <c r="AH194" i="1"/>
  <c r="AL194" i="1"/>
  <c r="AP194" i="1"/>
  <c r="AE194" i="1"/>
  <c r="AI194" i="1"/>
  <c r="AM194" i="1"/>
  <c r="AG194" i="1"/>
  <c r="AO194" i="1"/>
  <c r="AJ194" i="1"/>
  <c r="AK194" i="1"/>
  <c r="AF194" i="1"/>
  <c r="AN194" i="1"/>
  <c r="AE181" i="1"/>
  <c r="AI181" i="1"/>
  <c r="AM181" i="1"/>
  <c r="AF181" i="1"/>
  <c r="AJ181" i="1"/>
  <c r="AN181" i="1"/>
  <c r="AH181" i="1"/>
  <c r="AP181" i="1"/>
  <c r="AK181" i="1"/>
  <c r="AD181" i="1"/>
  <c r="AL181" i="1"/>
  <c r="AG181" i="1"/>
  <c r="AO181" i="1"/>
  <c r="AE81" i="1"/>
  <c r="AI81" i="1"/>
  <c r="AM81" i="1"/>
  <c r="AF81" i="1"/>
  <c r="AJ81" i="1"/>
  <c r="AN81" i="1"/>
  <c r="AG81" i="1"/>
  <c r="AK81" i="1"/>
  <c r="AO81" i="1"/>
  <c r="AD81" i="1"/>
  <c r="AH81" i="1"/>
  <c r="AL81" i="1"/>
  <c r="AP81" i="1"/>
  <c r="AG41" i="1"/>
  <c r="AK41" i="1"/>
  <c r="AO41" i="1"/>
  <c r="AE41" i="1"/>
  <c r="AI41" i="1"/>
  <c r="AM41" i="1"/>
  <c r="AF41" i="1"/>
  <c r="AJ41" i="1"/>
  <c r="AN41" i="1"/>
  <c r="AD41" i="1"/>
  <c r="AH41" i="1"/>
  <c r="AL41" i="1"/>
  <c r="AP41" i="1"/>
  <c r="AG107" i="1"/>
  <c r="AK107" i="1"/>
  <c r="AO107" i="1"/>
  <c r="AE107" i="1"/>
  <c r="AI107" i="1"/>
  <c r="AM107" i="1"/>
  <c r="AF107" i="1"/>
  <c r="AJ107" i="1"/>
  <c r="AN107" i="1"/>
  <c r="AP107" i="1"/>
  <c r="AD107" i="1"/>
  <c r="AH107" i="1"/>
  <c r="AL107" i="1"/>
  <c r="AE101" i="1"/>
  <c r="AI101" i="1"/>
  <c r="AM101" i="1"/>
  <c r="AG101" i="1"/>
  <c r="AK101" i="1"/>
  <c r="AO101" i="1"/>
  <c r="AD101" i="1"/>
  <c r="AH101" i="1"/>
  <c r="AL101" i="1"/>
  <c r="AP101" i="1"/>
  <c r="AN101" i="1"/>
  <c r="AF101" i="1"/>
  <c r="AJ101" i="1"/>
  <c r="AD190" i="1"/>
  <c r="AH190" i="1"/>
  <c r="AL190" i="1"/>
  <c r="AP190" i="1"/>
  <c r="AE190" i="1"/>
  <c r="AI190" i="1"/>
  <c r="AM190" i="1"/>
  <c r="AK190" i="1"/>
  <c r="AF190" i="1"/>
  <c r="AN190" i="1"/>
  <c r="AG190" i="1"/>
  <c r="AO190" i="1"/>
  <c r="AJ190" i="1"/>
  <c r="AE197" i="1"/>
  <c r="AI197" i="1"/>
  <c r="AM197" i="1"/>
  <c r="AF197" i="1"/>
  <c r="AJ197" i="1"/>
  <c r="AN197" i="1"/>
  <c r="AH197" i="1"/>
  <c r="AP197" i="1"/>
  <c r="AK197" i="1"/>
  <c r="AD197" i="1"/>
  <c r="AL197" i="1"/>
  <c r="AG197" i="1"/>
  <c r="AO197" i="1"/>
  <c r="AG161" i="1"/>
  <c r="AK161" i="1"/>
  <c r="AO161" i="1"/>
  <c r="AD161" i="1"/>
  <c r="AH161" i="1"/>
  <c r="AL161" i="1"/>
  <c r="AP161" i="1"/>
  <c r="AE161" i="1"/>
  <c r="AI161" i="1"/>
  <c r="AM161" i="1"/>
  <c r="AF161" i="1"/>
  <c r="AJ161" i="1"/>
  <c r="AN161" i="1"/>
  <c r="AE113" i="1"/>
  <c r="AI113" i="1"/>
  <c r="AM113" i="1"/>
  <c r="AG113" i="1"/>
  <c r="AK113" i="1"/>
  <c r="AO113" i="1"/>
  <c r="AD113" i="1"/>
  <c r="AH113" i="1"/>
  <c r="AL113" i="1"/>
  <c r="AP113" i="1"/>
  <c r="AF113" i="1"/>
  <c r="AJ113" i="1"/>
  <c r="AN113" i="1"/>
  <c r="AE89" i="1"/>
  <c r="AI89" i="1"/>
  <c r="AM89" i="1"/>
  <c r="AF89" i="1"/>
  <c r="AJ89" i="1"/>
  <c r="AN89" i="1"/>
  <c r="AG89" i="1"/>
  <c r="AK89" i="1"/>
  <c r="AO89" i="1"/>
  <c r="AD89" i="1"/>
  <c r="AH89" i="1"/>
  <c r="AL89" i="1"/>
  <c r="AP89" i="1"/>
  <c r="AD53" i="1"/>
  <c r="AH53" i="1"/>
  <c r="AL53" i="1"/>
  <c r="AP53" i="1"/>
  <c r="AE53" i="1"/>
  <c r="AI53" i="1"/>
  <c r="AM53" i="1"/>
  <c r="AF53" i="1"/>
  <c r="AJ53" i="1"/>
  <c r="AN53" i="1"/>
  <c r="AG53" i="1"/>
  <c r="AK53" i="1"/>
  <c r="AO53" i="1"/>
  <c r="AD21" i="1"/>
  <c r="AH21" i="1"/>
  <c r="AL21" i="1"/>
  <c r="AP21" i="1"/>
  <c r="AE21" i="1"/>
  <c r="AI21" i="1"/>
  <c r="AM21" i="1"/>
  <c r="AG21" i="1"/>
  <c r="AK21" i="1"/>
  <c r="AO21" i="1"/>
  <c r="AJ21" i="1"/>
  <c r="AN21" i="1"/>
  <c r="AF21" i="1"/>
  <c r="AD131" i="1"/>
  <c r="AH131" i="1"/>
  <c r="AL131" i="1"/>
  <c r="AP131" i="1"/>
  <c r="AE131" i="1"/>
  <c r="AI131" i="1"/>
  <c r="AM131" i="1"/>
  <c r="AF131" i="1"/>
  <c r="AJ131" i="1"/>
  <c r="AN131" i="1"/>
  <c r="AG131" i="1"/>
  <c r="AK131" i="1"/>
  <c r="AO131" i="1"/>
  <c r="AG67" i="1"/>
  <c r="AK67" i="1"/>
  <c r="AO67" i="1"/>
  <c r="AD67" i="1"/>
  <c r="AH67" i="1"/>
  <c r="AL67" i="1"/>
  <c r="AP67" i="1"/>
  <c r="AE67" i="1"/>
  <c r="AI67" i="1"/>
  <c r="AM67" i="1"/>
  <c r="AN67" i="1"/>
  <c r="AF67" i="1"/>
  <c r="AJ67" i="1"/>
  <c r="AE35" i="1"/>
  <c r="AI35" i="1"/>
  <c r="AM35" i="1"/>
  <c r="AF35" i="1"/>
  <c r="AJ35" i="1"/>
  <c r="AN35" i="1"/>
  <c r="AG35" i="1"/>
  <c r="AK35" i="1"/>
  <c r="AO35" i="1"/>
  <c r="AD35" i="1"/>
  <c r="AH35" i="1"/>
  <c r="AL35" i="1"/>
  <c r="AP35" i="1"/>
  <c r="AD151" i="1"/>
  <c r="AH151" i="1"/>
  <c r="AL151" i="1"/>
  <c r="AP151" i="1"/>
  <c r="AF151" i="1"/>
  <c r="AJ151" i="1"/>
  <c r="AN151" i="1"/>
  <c r="AG151" i="1"/>
  <c r="AK151" i="1"/>
  <c r="AO151" i="1"/>
  <c r="AI151" i="1"/>
  <c r="AM151" i="1"/>
  <c r="AE151" i="1"/>
  <c r="AG87" i="1"/>
  <c r="AK87" i="1"/>
  <c r="AO87" i="1"/>
  <c r="AD87" i="1"/>
  <c r="AH87" i="1"/>
  <c r="AL87" i="1"/>
  <c r="AP87" i="1"/>
  <c r="AE87" i="1"/>
  <c r="AI87" i="1"/>
  <c r="AM87" i="1"/>
  <c r="AF87" i="1"/>
  <c r="AJ87" i="1"/>
  <c r="AN87" i="1"/>
  <c r="AD61" i="1"/>
  <c r="AE61" i="1"/>
  <c r="AI61" i="1"/>
  <c r="AM61" i="1"/>
  <c r="AF61" i="1"/>
  <c r="AJ61" i="1"/>
  <c r="AN61" i="1"/>
  <c r="AG61" i="1"/>
  <c r="AK61" i="1"/>
  <c r="AO61" i="1"/>
  <c r="AL61" i="1"/>
  <c r="AP61" i="1"/>
  <c r="AH61" i="1"/>
  <c r="AD135" i="1"/>
  <c r="AH135" i="1"/>
  <c r="AL135" i="1"/>
  <c r="AP135" i="1"/>
  <c r="AE135" i="1"/>
  <c r="AI135" i="1"/>
  <c r="AM135" i="1"/>
  <c r="AF135" i="1"/>
  <c r="AJ135" i="1"/>
  <c r="AN135" i="1"/>
  <c r="AG135" i="1"/>
  <c r="AK135" i="1"/>
  <c r="AO135" i="1"/>
  <c r="AE85" i="1"/>
  <c r="AI85" i="1"/>
  <c r="AM85" i="1"/>
  <c r="AF85" i="1"/>
  <c r="AJ85" i="1"/>
  <c r="AN85" i="1"/>
  <c r="AG85" i="1"/>
  <c r="AK85" i="1"/>
  <c r="AO85" i="1"/>
  <c r="AD85" i="1"/>
  <c r="AH85" i="1"/>
  <c r="AL85" i="1"/>
  <c r="AP85" i="1"/>
  <c r="AG173" i="1"/>
  <c r="AK173" i="1"/>
  <c r="AO173" i="1"/>
  <c r="AD173" i="1"/>
  <c r="AH173" i="1"/>
  <c r="AL173" i="1"/>
  <c r="AP173" i="1"/>
  <c r="AE173" i="1"/>
  <c r="AI173" i="1"/>
  <c r="AM173" i="1"/>
  <c r="AF173" i="1"/>
  <c r="AJ173" i="1"/>
  <c r="AN173" i="1"/>
  <c r="AG165" i="1"/>
  <c r="AK165" i="1"/>
  <c r="AO165" i="1"/>
  <c r="AD165" i="1"/>
  <c r="AH165" i="1"/>
  <c r="AL165" i="1"/>
  <c r="AP165" i="1"/>
  <c r="AE165" i="1"/>
  <c r="AI165" i="1"/>
  <c r="AM165" i="1"/>
  <c r="AF165" i="1"/>
  <c r="AJ165" i="1"/>
  <c r="AN165" i="1"/>
  <c r="AG140" i="1"/>
  <c r="AK140" i="1"/>
  <c r="AO140" i="1"/>
  <c r="AE140" i="1"/>
  <c r="AI140" i="1"/>
  <c r="AM140" i="1"/>
  <c r="AF140" i="1"/>
  <c r="AJ140" i="1"/>
  <c r="AN140" i="1"/>
  <c r="AH140" i="1"/>
  <c r="AL140" i="1"/>
  <c r="AP140" i="1"/>
  <c r="AD140" i="1"/>
  <c r="AG22" i="1"/>
  <c r="AK22" i="1"/>
  <c r="AO22" i="1"/>
  <c r="AD22" i="1"/>
  <c r="AH22" i="1"/>
  <c r="AL22" i="1"/>
  <c r="AP22" i="1"/>
  <c r="AF22" i="1"/>
  <c r="AJ22" i="1"/>
  <c r="AN22" i="1"/>
  <c r="AM22" i="1"/>
  <c r="AE22" i="1"/>
  <c r="AI22" i="1"/>
  <c r="AF38" i="1"/>
  <c r="AJ38" i="1"/>
  <c r="AN38" i="1"/>
  <c r="AD38" i="1"/>
  <c r="AH38" i="1"/>
  <c r="AL38" i="1"/>
  <c r="AP38" i="1"/>
  <c r="AE38" i="1"/>
  <c r="AI38" i="1"/>
  <c r="AM38" i="1"/>
  <c r="AK38" i="1"/>
  <c r="AO38" i="1"/>
  <c r="AG38" i="1"/>
  <c r="AF157" i="1"/>
  <c r="AJ157" i="1"/>
  <c r="AN157" i="1"/>
  <c r="AD157" i="1"/>
  <c r="AH157" i="1"/>
  <c r="AL157" i="1"/>
  <c r="AP157" i="1"/>
  <c r="AE157" i="1"/>
  <c r="AI157" i="1"/>
  <c r="AM157" i="1"/>
  <c r="AK157" i="1"/>
  <c r="AO157" i="1"/>
  <c r="AG157" i="1"/>
  <c r="AE43" i="1"/>
  <c r="AI43" i="1"/>
  <c r="AM43" i="1"/>
  <c r="AG43" i="1"/>
  <c r="AK43" i="1"/>
  <c r="AO43" i="1"/>
  <c r="AD43" i="1"/>
  <c r="AH43" i="1"/>
  <c r="AL43" i="1"/>
  <c r="AP43" i="1"/>
  <c r="AJ43" i="1"/>
  <c r="AN43" i="1"/>
  <c r="AF43" i="1"/>
  <c r="AD160" i="1"/>
  <c r="AH160" i="1"/>
  <c r="AL160" i="1"/>
  <c r="AP160" i="1"/>
  <c r="AE160" i="1"/>
  <c r="AI160" i="1"/>
  <c r="AM160" i="1"/>
  <c r="AF160" i="1"/>
  <c r="AJ160" i="1"/>
  <c r="AN160" i="1"/>
  <c r="AG160" i="1"/>
  <c r="AK160" i="1"/>
  <c r="AO160" i="1"/>
  <c r="AD44" i="1"/>
  <c r="AH44" i="1"/>
  <c r="AL44" i="1"/>
  <c r="AP44" i="1"/>
  <c r="AF44" i="1"/>
  <c r="AJ44" i="1"/>
  <c r="AN44" i="1"/>
  <c r="AG44" i="1"/>
  <c r="AK44" i="1"/>
  <c r="AO44" i="1"/>
  <c r="AM44" i="1"/>
  <c r="AE44" i="1"/>
  <c r="AI44" i="1"/>
  <c r="AG128" i="1"/>
  <c r="AK128" i="1"/>
  <c r="AO128" i="1"/>
  <c r="AD128" i="1"/>
  <c r="AH128" i="1"/>
  <c r="AL128" i="1"/>
  <c r="AP128" i="1"/>
  <c r="AE128" i="1"/>
  <c r="AI128" i="1"/>
  <c r="AM128" i="1"/>
  <c r="AF128" i="1"/>
  <c r="AJ128" i="1"/>
  <c r="AN128" i="1"/>
  <c r="AE208" i="1"/>
  <c r="AI208" i="1"/>
  <c r="AM208" i="1"/>
  <c r="AF208" i="1"/>
  <c r="AJ208" i="1"/>
  <c r="AN208" i="1"/>
  <c r="AG208" i="1"/>
  <c r="AK208" i="1"/>
  <c r="AO208" i="1"/>
  <c r="AD208" i="1"/>
  <c r="AH208" i="1"/>
  <c r="AL208" i="1"/>
  <c r="AP208" i="1"/>
  <c r="AD48" i="1"/>
  <c r="AH48" i="1"/>
  <c r="AL48" i="1"/>
  <c r="AP48" i="1"/>
  <c r="AF48" i="1"/>
  <c r="AJ48" i="1"/>
  <c r="AN48" i="1"/>
  <c r="AG48" i="1"/>
  <c r="AK48" i="1"/>
  <c r="AO48" i="1"/>
  <c r="AI48" i="1"/>
  <c r="AM48" i="1"/>
  <c r="AE48" i="1"/>
  <c r="AG199" i="1"/>
  <c r="AK199" i="1"/>
  <c r="AO199" i="1"/>
  <c r="AD199" i="1"/>
  <c r="AH199" i="1"/>
  <c r="AL199" i="1"/>
  <c r="AP199" i="1"/>
  <c r="AF199" i="1"/>
  <c r="AN199" i="1"/>
  <c r="AI199" i="1"/>
  <c r="AJ199" i="1"/>
  <c r="AE199" i="1"/>
  <c r="AM199" i="1"/>
  <c r="AE142" i="1"/>
  <c r="AI142" i="1"/>
  <c r="AM142" i="1"/>
  <c r="AG142" i="1"/>
  <c r="AK142" i="1"/>
  <c r="AO142" i="1"/>
  <c r="AD142" i="1"/>
  <c r="AH142" i="1"/>
  <c r="AL142" i="1"/>
  <c r="AP142" i="1"/>
  <c r="AN142" i="1"/>
  <c r="AF142" i="1"/>
  <c r="AJ142" i="1"/>
  <c r="AF50" i="1"/>
  <c r="AJ50" i="1"/>
  <c r="AD50" i="1"/>
  <c r="AH50" i="1"/>
  <c r="AE50" i="1"/>
  <c r="AK50" i="1"/>
  <c r="AO50" i="1"/>
  <c r="AL50" i="1"/>
  <c r="AP50" i="1"/>
  <c r="AG50" i="1"/>
  <c r="AM50" i="1"/>
  <c r="AI50" i="1"/>
  <c r="AN50" i="1"/>
  <c r="AE52" i="1"/>
  <c r="AI52" i="1"/>
  <c r="AM52" i="1"/>
  <c r="AF52" i="1"/>
  <c r="AJ52" i="1"/>
  <c r="AN52" i="1"/>
  <c r="AG52" i="1"/>
  <c r="AK52" i="1"/>
  <c r="AO52" i="1"/>
  <c r="AD52" i="1"/>
  <c r="AH52" i="1"/>
  <c r="AL52" i="1"/>
  <c r="AP52" i="1"/>
  <c r="AF178" i="1"/>
  <c r="AJ178" i="1"/>
  <c r="AN178" i="1"/>
  <c r="AD178" i="1"/>
  <c r="AH178" i="1"/>
  <c r="AL178" i="1"/>
  <c r="AP178" i="1"/>
  <c r="AE178" i="1"/>
  <c r="AI178" i="1"/>
  <c r="AM178" i="1"/>
  <c r="AK178" i="1"/>
  <c r="AO178" i="1"/>
  <c r="AG178" i="1"/>
  <c r="AF162" i="1"/>
  <c r="AJ162" i="1"/>
  <c r="AN162" i="1"/>
  <c r="AG162" i="1"/>
  <c r="AK162" i="1"/>
  <c r="AO162" i="1"/>
  <c r="AD162" i="1"/>
  <c r="AH162" i="1"/>
  <c r="AL162" i="1"/>
  <c r="AP162" i="1"/>
  <c r="AE162" i="1"/>
  <c r="AI162" i="1"/>
  <c r="AM162" i="1"/>
  <c r="AG191" i="1"/>
  <c r="AK191" i="1"/>
  <c r="AO191" i="1"/>
  <c r="AD191" i="1"/>
  <c r="AH191" i="1"/>
  <c r="AL191" i="1"/>
  <c r="AP191" i="1"/>
  <c r="AF191" i="1"/>
  <c r="AN191" i="1"/>
  <c r="AI191" i="1"/>
  <c r="AJ191" i="1"/>
  <c r="AE191" i="1"/>
  <c r="AM191" i="1"/>
  <c r="AF166" i="1"/>
  <c r="AJ166" i="1"/>
  <c r="AN166" i="1"/>
  <c r="AG166" i="1"/>
  <c r="AK166" i="1"/>
  <c r="AO166" i="1"/>
  <c r="AD166" i="1"/>
  <c r="AH166" i="1"/>
  <c r="AL166" i="1"/>
  <c r="AP166" i="1"/>
  <c r="AE166" i="1"/>
  <c r="AI166" i="1"/>
  <c r="AM166" i="1"/>
  <c r="AE134" i="1"/>
  <c r="AI134" i="1"/>
  <c r="AM134" i="1"/>
  <c r="AF134" i="1"/>
  <c r="AJ134" i="1"/>
  <c r="AN134" i="1"/>
  <c r="AG134" i="1"/>
  <c r="AK134" i="1"/>
  <c r="AO134" i="1"/>
  <c r="AD134" i="1"/>
  <c r="AH134" i="1"/>
  <c r="AL134" i="1"/>
  <c r="AP134" i="1"/>
  <c r="AD102" i="1"/>
  <c r="AH102" i="1"/>
  <c r="AL102" i="1"/>
  <c r="AP102" i="1"/>
  <c r="AF102" i="1"/>
  <c r="AJ102" i="1"/>
  <c r="AN102" i="1"/>
  <c r="AG102" i="1"/>
  <c r="AK102" i="1"/>
  <c r="AO102" i="1"/>
  <c r="AE102" i="1"/>
  <c r="AI102" i="1"/>
  <c r="AM102" i="1"/>
  <c r="AF170" i="1"/>
  <c r="AJ170" i="1"/>
  <c r="AN170" i="1"/>
  <c r="AG170" i="1"/>
  <c r="AK170" i="1"/>
  <c r="AO170" i="1"/>
  <c r="AD170" i="1"/>
  <c r="AH170" i="1"/>
  <c r="AL170" i="1"/>
  <c r="AP170" i="1"/>
  <c r="AE170" i="1"/>
  <c r="AI170" i="1"/>
  <c r="AM170" i="1"/>
  <c r="AE20" i="1"/>
  <c r="AI20" i="1"/>
  <c r="AM20" i="1"/>
  <c r="AF20" i="1"/>
  <c r="AJ20" i="1"/>
  <c r="AN20" i="1"/>
  <c r="AD20" i="1"/>
  <c r="AH20" i="1"/>
  <c r="AL20" i="1"/>
  <c r="AP20" i="1"/>
  <c r="AG20" i="1"/>
  <c r="AK20" i="1"/>
  <c r="AO20" i="1"/>
  <c r="AE189" i="1"/>
  <c r="AI189" i="1"/>
  <c r="AM189" i="1"/>
  <c r="AF189" i="1"/>
  <c r="AJ189" i="1"/>
  <c r="AN189" i="1"/>
  <c r="AH189" i="1"/>
  <c r="AP189" i="1"/>
  <c r="AK189" i="1"/>
  <c r="AD189" i="1"/>
  <c r="AL189" i="1"/>
  <c r="AG189" i="1"/>
  <c r="AO189" i="1"/>
  <c r="AD202" i="1"/>
  <c r="AH202" i="1"/>
  <c r="AL202" i="1"/>
  <c r="AP202" i="1"/>
  <c r="AE202" i="1"/>
  <c r="AI202" i="1"/>
  <c r="AM202" i="1"/>
  <c r="AG202" i="1"/>
  <c r="AO202" i="1"/>
  <c r="AJ202" i="1"/>
  <c r="AK202" i="1"/>
  <c r="AF202" i="1"/>
  <c r="AN202" i="1"/>
  <c r="AE130" i="1"/>
  <c r="AI130" i="1"/>
  <c r="AM130" i="1"/>
  <c r="AF130" i="1"/>
  <c r="AJ130" i="1"/>
  <c r="AN130" i="1"/>
  <c r="AG130" i="1"/>
  <c r="AK130" i="1"/>
  <c r="AO130" i="1"/>
  <c r="AD130" i="1"/>
  <c r="AH130" i="1"/>
  <c r="AL130" i="1"/>
  <c r="AP130" i="1"/>
  <c r="AD98" i="1"/>
  <c r="AH98" i="1"/>
  <c r="AL98" i="1"/>
  <c r="AP98" i="1"/>
  <c r="AF98" i="1"/>
  <c r="AJ98" i="1"/>
  <c r="AN98" i="1"/>
  <c r="AG98" i="1"/>
  <c r="AK98" i="1"/>
  <c r="AO98" i="1"/>
  <c r="AE98" i="1"/>
  <c r="AI98" i="1"/>
  <c r="AM98" i="1"/>
  <c r="AD66" i="1"/>
  <c r="AH66" i="1"/>
  <c r="AL66" i="1"/>
  <c r="AP66" i="1"/>
  <c r="AE66" i="1"/>
  <c r="AI66" i="1"/>
  <c r="AM66" i="1"/>
  <c r="AF66" i="1"/>
  <c r="AJ66" i="1"/>
  <c r="AN66" i="1"/>
  <c r="AK66" i="1"/>
  <c r="AO66" i="1"/>
  <c r="AG66" i="1"/>
  <c r="AF42" i="1"/>
  <c r="AJ42" i="1"/>
  <c r="AN42" i="1"/>
  <c r="AD42" i="1"/>
  <c r="AH42" i="1"/>
  <c r="AL42" i="1"/>
  <c r="AP42" i="1"/>
  <c r="AE42" i="1"/>
  <c r="AI42" i="1"/>
  <c r="AM42" i="1"/>
  <c r="AG42" i="1"/>
  <c r="AK42" i="1"/>
  <c r="AO42" i="1"/>
  <c r="AG10" i="1"/>
  <c r="AK10" i="1"/>
  <c r="AO10" i="1"/>
  <c r="AD10" i="1"/>
  <c r="AH10" i="1"/>
  <c r="AL10" i="1"/>
  <c r="AP10" i="1"/>
  <c r="AF10" i="1"/>
  <c r="AJ10" i="1"/>
  <c r="AN10" i="1"/>
  <c r="AI10" i="1"/>
  <c r="AM10" i="1"/>
  <c r="AE10" i="1"/>
  <c r="AG6" i="1"/>
  <c r="AK6" i="1"/>
  <c r="AO6" i="1"/>
  <c r="AD6" i="1"/>
  <c r="AH6" i="1"/>
  <c r="AL6" i="1"/>
  <c r="AP6" i="1"/>
  <c r="AE6" i="1"/>
  <c r="AF6" i="1"/>
  <c r="AJ6" i="1"/>
  <c r="AN6" i="1"/>
  <c r="AM6" i="1"/>
  <c r="AI6" i="1"/>
  <c r="AF34" i="1"/>
  <c r="AJ34" i="1"/>
  <c r="AN34" i="1"/>
  <c r="AG34" i="1"/>
  <c r="AK34" i="1"/>
  <c r="AO34" i="1"/>
  <c r="AD34" i="1"/>
  <c r="AH34" i="1"/>
  <c r="AL34" i="1"/>
  <c r="AP34" i="1"/>
  <c r="AE34" i="1"/>
  <c r="AI34" i="1"/>
  <c r="AM34" i="1"/>
  <c r="AD198" i="1"/>
  <c r="AH198" i="1"/>
  <c r="AL198" i="1"/>
  <c r="AP198" i="1"/>
  <c r="AE198" i="1"/>
  <c r="AI198" i="1"/>
  <c r="AM198" i="1"/>
  <c r="AK198" i="1"/>
  <c r="AF198" i="1"/>
  <c r="AN198" i="1"/>
  <c r="AG198" i="1"/>
  <c r="AO198" i="1"/>
  <c r="AJ198" i="1"/>
  <c r="AG206" i="1"/>
  <c r="AK206" i="1"/>
  <c r="AO206" i="1"/>
  <c r="AD206" i="1"/>
  <c r="AH206" i="1"/>
  <c r="AL206" i="1"/>
  <c r="AP206" i="1"/>
  <c r="AE206" i="1"/>
  <c r="AI206" i="1"/>
  <c r="AM206" i="1"/>
  <c r="AF206" i="1"/>
  <c r="AJ206" i="1"/>
  <c r="AN206" i="1"/>
  <c r="AE159" i="1"/>
  <c r="AI159" i="1"/>
  <c r="AM159" i="1"/>
  <c r="AF159" i="1"/>
  <c r="AJ159" i="1"/>
  <c r="AN159" i="1"/>
  <c r="AG159" i="1"/>
  <c r="AK159" i="1"/>
  <c r="AO159" i="1"/>
  <c r="AD159" i="1"/>
  <c r="AH159" i="1"/>
  <c r="AL159" i="1"/>
  <c r="AP159" i="1"/>
  <c r="AE97" i="1"/>
  <c r="AI97" i="1"/>
  <c r="AM97" i="1"/>
  <c r="AG97" i="1"/>
  <c r="AK97" i="1"/>
  <c r="AO97" i="1"/>
  <c r="AD97" i="1"/>
  <c r="AH97" i="1"/>
  <c r="AL97" i="1"/>
  <c r="AP97" i="1"/>
  <c r="AF97" i="1"/>
  <c r="AJ97" i="1"/>
  <c r="AN97" i="1"/>
  <c r="AE65" i="1"/>
  <c r="AI65" i="1"/>
  <c r="AM65" i="1"/>
  <c r="AF65" i="1"/>
  <c r="AJ65" i="1"/>
  <c r="AN65" i="1"/>
  <c r="AG65" i="1"/>
  <c r="AK65" i="1"/>
  <c r="AO65" i="1"/>
  <c r="AH65" i="1"/>
  <c r="AL65" i="1"/>
  <c r="AP65" i="1"/>
  <c r="AD65" i="1"/>
  <c r="AG33" i="1"/>
  <c r="AK33" i="1"/>
  <c r="AO33" i="1"/>
  <c r="AD33" i="1"/>
  <c r="AH33" i="1"/>
  <c r="AL33" i="1"/>
  <c r="AP33" i="1"/>
  <c r="AE33" i="1"/>
  <c r="AI33" i="1"/>
  <c r="AM33" i="1"/>
  <c r="AF33" i="1"/>
  <c r="AJ33" i="1"/>
  <c r="AN33" i="1"/>
  <c r="AD155" i="1"/>
  <c r="AH155" i="1"/>
  <c r="AL155" i="1"/>
  <c r="AP155" i="1"/>
  <c r="AF155" i="1"/>
  <c r="AJ155" i="1"/>
  <c r="AN155" i="1"/>
  <c r="AG155" i="1"/>
  <c r="AK155" i="1"/>
  <c r="AO155" i="1"/>
  <c r="AE155" i="1"/>
  <c r="AI155" i="1"/>
  <c r="AM155" i="1"/>
  <c r="AG91" i="1"/>
  <c r="AK91" i="1"/>
  <c r="AO91" i="1"/>
  <c r="AE91" i="1"/>
  <c r="AI91" i="1"/>
  <c r="AM91" i="1"/>
  <c r="AF91" i="1"/>
  <c r="AJ91" i="1"/>
  <c r="AN91" i="1"/>
  <c r="AP91" i="1"/>
  <c r="AD91" i="1"/>
  <c r="AH91" i="1"/>
  <c r="AL91" i="1"/>
  <c r="AE109" i="1"/>
  <c r="AI109" i="1"/>
  <c r="AM109" i="1"/>
  <c r="AG109" i="1"/>
  <c r="AK109" i="1"/>
  <c r="AO109" i="1"/>
  <c r="AD109" i="1"/>
  <c r="AH109" i="1"/>
  <c r="AL109" i="1"/>
  <c r="AP109" i="1"/>
  <c r="AF109" i="1"/>
  <c r="AJ109" i="1"/>
  <c r="AN109" i="1"/>
  <c r="AE77" i="1"/>
  <c r="AI77" i="1"/>
  <c r="AM77" i="1"/>
  <c r="AF77" i="1"/>
  <c r="AJ77" i="1"/>
  <c r="AN77" i="1"/>
  <c r="AG77" i="1"/>
  <c r="AK77" i="1"/>
  <c r="AO77" i="1"/>
  <c r="AD77" i="1"/>
  <c r="AH77" i="1"/>
  <c r="AL77" i="1"/>
  <c r="AP77" i="1"/>
  <c r="AE47" i="1"/>
  <c r="AI47" i="1"/>
  <c r="AM47" i="1"/>
  <c r="AG47" i="1"/>
  <c r="AK47" i="1"/>
  <c r="AO47" i="1"/>
  <c r="AD47" i="1"/>
  <c r="AH47" i="1"/>
  <c r="AL47" i="1"/>
  <c r="AP47" i="1"/>
  <c r="AF47" i="1"/>
  <c r="AJ47" i="1"/>
  <c r="AN47" i="1"/>
  <c r="AF15" i="1"/>
  <c r="AJ15" i="1"/>
  <c r="AN15" i="1"/>
  <c r="AG15" i="1"/>
  <c r="AK15" i="1"/>
  <c r="AO15" i="1"/>
  <c r="AE15" i="1"/>
  <c r="AI15" i="1"/>
  <c r="AM15" i="1"/>
  <c r="AH15" i="1"/>
  <c r="AL15" i="1"/>
  <c r="AP15" i="1"/>
  <c r="AD15" i="1"/>
  <c r="AG111" i="1"/>
  <c r="AK111" i="1"/>
  <c r="AO111" i="1"/>
  <c r="AE111" i="1"/>
  <c r="AI111" i="1"/>
  <c r="AM111" i="1"/>
  <c r="AF111" i="1"/>
  <c r="AJ111" i="1"/>
  <c r="AN111" i="1"/>
  <c r="AL111" i="1"/>
  <c r="AP111" i="1"/>
  <c r="AD111" i="1"/>
  <c r="AH111" i="1"/>
  <c r="AG169" i="1"/>
  <c r="AK169" i="1"/>
  <c r="AO169" i="1"/>
  <c r="AD169" i="1"/>
  <c r="AH169" i="1"/>
  <c r="AL169" i="1"/>
  <c r="AP169" i="1"/>
  <c r="AE169" i="1"/>
  <c r="AI169" i="1"/>
  <c r="AM169" i="1"/>
  <c r="AF169" i="1"/>
  <c r="AJ169" i="1"/>
  <c r="AN169" i="1"/>
  <c r="AF73" i="1"/>
  <c r="AJ73" i="1"/>
  <c r="AG73" i="1"/>
  <c r="AK73" i="1"/>
  <c r="AO73" i="1"/>
  <c r="AI73" i="1"/>
  <c r="AP73" i="1"/>
  <c r="AD73" i="1"/>
  <c r="AL73" i="1"/>
  <c r="AE73" i="1"/>
  <c r="AM73" i="1"/>
  <c r="AH73" i="1"/>
  <c r="AN73" i="1"/>
  <c r="AD13" i="1"/>
  <c r="AH13" i="1"/>
  <c r="AL13" i="1"/>
  <c r="AP13" i="1"/>
  <c r="AE13" i="1"/>
  <c r="AI13" i="1"/>
  <c r="AM13" i="1"/>
  <c r="AG13" i="1"/>
  <c r="AK13" i="1"/>
  <c r="AO13" i="1"/>
  <c r="AF13" i="1"/>
  <c r="AJ13" i="1"/>
  <c r="AN13" i="1"/>
  <c r="AG103" i="1"/>
  <c r="AK103" i="1"/>
  <c r="AO103" i="1"/>
  <c r="AE103" i="1"/>
  <c r="AI103" i="1"/>
  <c r="AM103" i="1"/>
  <c r="AF103" i="1"/>
  <c r="AJ103" i="1"/>
  <c r="AN103" i="1"/>
  <c r="AD103" i="1"/>
  <c r="AH103" i="1"/>
  <c r="AL103" i="1"/>
  <c r="AP103" i="1"/>
  <c r="AE117" i="1"/>
  <c r="AI117" i="1"/>
  <c r="AM117" i="1"/>
  <c r="AD117" i="1"/>
  <c r="AH117" i="1"/>
  <c r="AL117" i="1"/>
  <c r="AP117" i="1"/>
  <c r="AJ117" i="1"/>
  <c r="AK117" i="1"/>
  <c r="AF117" i="1"/>
  <c r="AN117" i="1"/>
  <c r="AG117" i="1"/>
  <c r="AO117" i="1"/>
  <c r="AE167" i="1"/>
  <c r="AI167" i="1"/>
  <c r="AM167" i="1"/>
  <c r="AF167" i="1"/>
  <c r="AJ167" i="1"/>
  <c r="AN167" i="1"/>
  <c r="AG167" i="1"/>
  <c r="AK167" i="1"/>
  <c r="AO167" i="1"/>
  <c r="AD167" i="1"/>
  <c r="AH167" i="1"/>
  <c r="AL167" i="1"/>
  <c r="AP167" i="1"/>
  <c r="AF141" i="1"/>
  <c r="AJ141" i="1"/>
  <c r="AN141" i="1"/>
  <c r="AD141" i="1"/>
  <c r="AH141" i="1"/>
  <c r="AL141" i="1"/>
  <c r="AP141" i="1"/>
  <c r="AE141" i="1"/>
  <c r="AI141" i="1"/>
  <c r="AM141" i="1"/>
  <c r="AK141" i="1"/>
  <c r="AO141" i="1"/>
  <c r="AG141" i="1"/>
  <c r="AG124" i="1"/>
  <c r="AK124" i="1"/>
  <c r="AO124" i="1"/>
  <c r="AD124" i="1"/>
  <c r="AH124" i="1"/>
  <c r="AL124" i="1"/>
  <c r="AP124" i="1"/>
  <c r="AE124" i="1"/>
  <c r="AI124" i="1"/>
  <c r="AM124" i="1"/>
  <c r="AF124" i="1"/>
  <c r="AJ124" i="1"/>
  <c r="AN124" i="1"/>
  <c r="AF80" i="1"/>
  <c r="AJ80" i="1"/>
  <c r="AN80" i="1"/>
  <c r="AG80" i="1"/>
  <c r="AK80" i="1"/>
  <c r="AO80" i="1"/>
  <c r="AD80" i="1"/>
  <c r="AH80" i="1"/>
  <c r="AL80" i="1"/>
  <c r="AP80" i="1"/>
  <c r="AE80" i="1"/>
  <c r="AI80" i="1"/>
  <c r="AM80" i="1"/>
  <c r="AF88" i="1"/>
  <c r="AJ88" i="1"/>
  <c r="AN88" i="1"/>
  <c r="AG88" i="1"/>
  <c r="AK88" i="1"/>
  <c r="AO88" i="1"/>
  <c r="AD88" i="1"/>
  <c r="AH88" i="1"/>
  <c r="AL88" i="1"/>
  <c r="AP88" i="1"/>
  <c r="AE88" i="1"/>
  <c r="AI88" i="1"/>
  <c r="AM88" i="1"/>
  <c r="AF27" i="1"/>
  <c r="AJ27" i="1"/>
  <c r="AN27" i="1"/>
  <c r="AG27" i="1"/>
  <c r="AK27" i="1"/>
  <c r="AO27" i="1"/>
  <c r="AE27" i="1"/>
  <c r="AI27" i="1"/>
  <c r="AM27" i="1"/>
  <c r="AL27" i="1"/>
  <c r="AP27" i="1"/>
  <c r="AD27" i="1"/>
  <c r="AH27" i="1"/>
  <c r="AG152" i="1"/>
  <c r="AK152" i="1"/>
  <c r="AO152" i="1"/>
  <c r="AE152" i="1"/>
  <c r="AI152" i="1"/>
  <c r="AM152" i="1"/>
  <c r="AF152" i="1"/>
  <c r="AJ152" i="1"/>
  <c r="AN152" i="1"/>
  <c r="AL152" i="1"/>
  <c r="AP152" i="1"/>
  <c r="AD152" i="1"/>
  <c r="AH152" i="1"/>
  <c r="AD164" i="1"/>
  <c r="AH164" i="1"/>
  <c r="AL164" i="1"/>
  <c r="AP164" i="1"/>
  <c r="AE164" i="1"/>
  <c r="AI164" i="1"/>
  <c r="AM164" i="1"/>
  <c r="AF164" i="1"/>
  <c r="AJ164" i="1"/>
  <c r="AN164" i="1"/>
  <c r="AG164" i="1"/>
  <c r="AK164" i="1"/>
  <c r="AO164" i="1"/>
  <c r="AF72" i="1"/>
  <c r="AJ72" i="1"/>
  <c r="AN72" i="1"/>
  <c r="AG72" i="1"/>
  <c r="AK72" i="1"/>
  <c r="AO72" i="1"/>
  <c r="AD72" i="1"/>
  <c r="AH72" i="1"/>
  <c r="AL72" i="1"/>
  <c r="AP72" i="1"/>
  <c r="AM72" i="1"/>
  <c r="AE72" i="1"/>
  <c r="AI72" i="1"/>
  <c r="AF120" i="1"/>
  <c r="AJ120" i="1"/>
  <c r="AN120" i="1"/>
  <c r="AE120" i="1"/>
  <c r="AI120" i="1"/>
  <c r="AK120" i="1"/>
  <c r="AP120" i="1"/>
  <c r="AD120" i="1"/>
  <c r="AL120" i="1"/>
  <c r="AG120" i="1"/>
  <c r="AM120" i="1"/>
  <c r="AH120" i="1"/>
  <c r="AO120" i="1"/>
  <c r="AG136" i="1"/>
  <c r="AK136" i="1"/>
  <c r="AO136" i="1"/>
  <c r="AD136" i="1"/>
  <c r="AH136" i="1"/>
  <c r="AL136" i="1"/>
  <c r="AP136" i="1"/>
  <c r="AE136" i="1"/>
  <c r="AI136" i="1"/>
  <c r="AM136" i="1"/>
  <c r="AF136" i="1"/>
  <c r="AJ136" i="1"/>
  <c r="AN136" i="1"/>
  <c r="AG148" i="1"/>
  <c r="AK148" i="1"/>
  <c r="AO148" i="1"/>
  <c r="AE148" i="1"/>
  <c r="AI148" i="1"/>
  <c r="AM148" i="1"/>
  <c r="AF148" i="1"/>
  <c r="AJ148" i="1"/>
  <c r="AN148" i="1"/>
  <c r="AP148" i="1"/>
  <c r="AD148" i="1"/>
  <c r="AH148" i="1"/>
  <c r="AL148" i="1"/>
  <c r="AG187" i="1"/>
  <c r="AK187" i="1"/>
  <c r="AO187" i="1"/>
  <c r="AD187" i="1"/>
  <c r="AH187" i="1"/>
  <c r="AL187" i="1"/>
  <c r="AP187" i="1"/>
  <c r="AJ187" i="1"/>
  <c r="AE187" i="1"/>
  <c r="AM187" i="1"/>
  <c r="AF187" i="1"/>
  <c r="AN187" i="1"/>
  <c r="AI187" i="1"/>
  <c r="AF174" i="1"/>
  <c r="AJ174" i="1"/>
  <c r="AN174" i="1"/>
  <c r="AG174" i="1"/>
  <c r="AK174" i="1"/>
  <c r="AO174" i="1"/>
  <c r="AD174" i="1"/>
  <c r="AH174" i="1"/>
  <c r="AL174" i="1"/>
  <c r="AP174" i="1"/>
  <c r="AE174" i="1"/>
  <c r="AI174" i="1"/>
  <c r="AM174" i="1"/>
  <c r="AD110" i="1"/>
  <c r="AH110" i="1"/>
  <c r="AL110" i="1"/>
  <c r="AP110" i="1"/>
  <c r="AF110" i="1"/>
  <c r="AJ110" i="1"/>
  <c r="AN110" i="1"/>
  <c r="AG110" i="1"/>
  <c r="AK110" i="1"/>
  <c r="AO110" i="1"/>
  <c r="AI110" i="1"/>
  <c r="AM110" i="1"/>
  <c r="AE110" i="1"/>
  <c r="AD182" i="1"/>
  <c r="AH182" i="1"/>
  <c r="AL182" i="1"/>
  <c r="AP182" i="1"/>
  <c r="AE182" i="1"/>
  <c r="AI182" i="1"/>
  <c r="AM182" i="1"/>
  <c r="AK182" i="1"/>
  <c r="AF182" i="1"/>
  <c r="AN182" i="1"/>
  <c r="AG182" i="1"/>
  <c r="AO182" i="1"/>
  <c r="AJ182" i="1"/>
  <c r="AD30" i="1"/>
  <c r="AF30" i="1"/>
  <c r="AE30" i="1"/>
  <c r="AJ30" i="1"/>
  <c r="AN30" i="1"/>
  <c r="AG30" i="1"/>
  <c r="AK30" i="1"/>
  <c r="AO30" i="1"/>
  <c r="AH30" i="1"/>
  <c r="AL30" i="1"/>
  <c r="AP30" i="1"/>
  <c r="AI30" i="1"/>
  <c r="AM30" i="1"/>
  <c r="AG183" i="1"/>
  <c r="AK183" i="1"/>
  <c r="AO183" i="1"/>
  <c r="AD183" i="1"/>
  <c r="AH183" i="1"/>
  <c r="AL183" i="1"/>
  <c r="AP183" i="1"/>
  <c r="AF183" i="1"/>
  <c r="AN183" i="1"/>
  <c r="AI183" i="1"/>
  <c r="AJ183" i="1"/>
  <c r="AE183" i="1"/>
  <c r="AM183" i="1"/>
  <c r="AE138" i="1"/>
  <c r="AI138" i="1"/>
  <c r="AM138" i="1"/>
  <c r="AF138" i="1"/>
  <c r="AJ138" i="1"/>
  <c r="AG138" i="1"/>
  <c r="AK138" i="1"/>
  <c r="AO138" i="1"/>
  <c r="AD138" i="1"/>
  <c r="AH138" i="1"/>
  <c r="AL138" i="1"/>
  <c r="AP138" i="1"/>
  <c r="AN138" i="1"/>
  <c r="AD106" i="1"/>
  <c r="AH106" i="1"/>
  <c r="AL106" i="1"/>
  <c r="AP106" i="1"/>
  <c r="AF106" i="1"/>
  <c r="AJ106" i="1"/>
  <c r="AN106" i="1"/>
  <c r="AG106" i="1"/>
  <c r="AK106" i="1"/>
  <c r="AO106" i="1"/>
  <c r="AM106" i="1"/>
  <c r="AE106" i="1"/>
  <c r="AI106" i="1"/>
  <c r="AD36" i="1"/>
  <c r="AH36" i="1"/>
  <c r="AL36" i="1"/>
  <c r="AP36" i="1"/>
  <c r="AE36" i="1"/>
  <c r="AI36" i="1"/>
  <c r="AM36" i="1"/>
  <c r="AF36" i="1"/>
  <c r="AJ36" i="1"/>
  <c r="AN36" i="1"/>
  <c r="AG36" i="1"/>
  <c r="AK36" i="1"/>
  <c r="AO36" i="1"/>
  <c r="AF153" i="1"/>
  <c r="AJ153" i="1"/>
  <c r="AN153" i="1"/>
  <c r="AD153" i="1"/>
  <c r="AH153" i="1"/>
  <c r="AL153" i="1"/>
  <c r="AP153" i="1"/>
  <c r="AE153" i="1"/>
  <c r="AI153" i="1"/>
  <c r="AM153" i="1"/>
  <c r="AO153" i="1"/>
  <c r="AG153" i="1"/>
  <c r="AK153" i="1"/>
  <c r="AE121" i="1"/>
  <c r="AI121" i="1"/>
  <c r="AM121" i="1"/>
  <c r="AH121" i="1"/>
  <c r="AN121" i="1"/>
  <c r="AD121" i="1"/>
  <c r="AJ121" i="1"/>
  <c r="AO121" i="1"/>
  <c r="AF121" i="1"/>
  <c r="AK121" i="1"/>
  <c r="AP121" i="1"/>
  <c r="AG121" i="1"/>
  <c r="AL121" i="1"/>
  <c r="AD29" i="1"/>
  <c r="AH29" i="1"/>
  <c r="AL29" i="1"/>
  <c r="AP29" i="1"/>
  <c r="AE29" i="1"/>
  <c r="AI29" i="1"/>
  <c r="AM29" i="1"/>
  <c r="AG29" i="1"/>
  <c r="AK29" i="1"/>
  <c r="AO29" i="1"/>
  <c r="AF29" i="1"/>
  <c r="AJ29" i="1"/>
  <c r="AN29" i="1"/>
  <c r="AG71" i="1"/>
  <c r="AK71" i="1"/>
  <c r="AO71" i="1"/>
  <c r="AD71" i="1"/>
  <c r="AH71" i="1"/>
  <c r="AL71" i="1"/>
  <c r="AP71" i="1"/>
  <c r="AE71" i="1"/>
  <c r="AI71" i="1"/>
  <c r="AM71" i="1"/>
  <c r="AJ71" i="1"/>
  <c r="AN71" i="1"/>
  <c r="AF71" i="1"/>
  <c r="AF133" i="1"/>
  <c r="AJ133" i="1"/>
  <c r="AN133" i="1"/>
  <c r="AG133" i="1"/>
  <c r="AK133" i="1"/>
  <c r="AO133" i="1"/>
  <c r="AD133" i="1"/>
  <c r="AH133" i="1"/>
  <c r="AL133" i="1"/>
  <c r="AP133" i="1"/>
  <c r="AE133" i="1"/>
  <c r="AI133" i="1"/>
  <c r="AM133" i="1"/>
  <c r="AE39" i="1"/>
  <c r="AI39" i="1"/>
  <c r="AM39" i="1"/>
  <c r="AG39" i="1"/>
  <c r="AK39" i="1"/>
  <c r="AO39" i="1"/>
  <c r="AD39" i="1"/>
  <c r="AH39" i="1"/>
  <c r="AL39" i="1"/>
  <c r="AP39" i="1"/>
  <c r="AN39" i="1"/>
  <c r="AF39" i="1"/>
  <c r="AJ39" i="1"/>
  <c r="AF7" i="1"/>
  <c r="AJ7" i="1"/>
  <c r="AN7" i="1"/>
  <c r="AG7" i="1"/>
  <c r="AK7" i="1"/>
  <c r="AO7" i="1"/>
  <c r="AE7" i="1"/>
  <c r="AI7" i="1"/>
  <c r="AM7" i="1"/>
  <c r="AP7" i="1"/>
  <c r="AD7" i="1"/>
  <c r="AH7" i="1"/>
  <c r="AL7" i="1"/>
  <c r="AG203" i="1"/>
  <c r="AK203" i="1"/>
  <c r="AO203" i="1"/>
  <c r="AD203" i="1"/>
  <c r="AH203" i="1"/>
  <c r="AL203" i="1"/>
  <c r="AP203" i="1"/>
  <c r="AJ203" i="1"/>
  <c r="AE203" i="1"/>
  <c r="AM203" i="1"/>
  <c r="AF203" i="1"/>
  <c r="AN203" i="1"/>
  <c r="AI203" i="1"/>
  <c r="AF92" i="1"/>
  <c r="AJ92" i="1"/>
  <c r="AN92" i="1"/>
  <c r="AD92" i="1"/>
  <c r="AH92" i="1"/>
  <c r="AL92" i="1"/>
  <c r="AP92" i="1"/>
  <c r="AE92" i="1"/>
  <c r="AI92" i="1"/>
  <c r="AM92" i="1"/>
  <c r="AG92" i="1"/>
  <c r="AK92" i="1"/>
  <c r="AO92" i="1"/>
  <c r="AD57" i="1"/>
  <c r="AH57" i="1"/>
  <c r="AL57" i="1"/>
  <c r="AP57" i="1"/>
  <c r="AE57" i="1"/>
  <c r="AI57" i="1"/>
  <c r="AM57" i="1"/>
  <c r="AF57" i="1"/>
  <c r="AJ57" i="1"/>
  <c r="AN57" i="1"/>
  <c r="AG57" i="1"/>
  <c r="AK57" i="1"/>
  <c r="AO57" i="1"/>
  <c r="AE171" i="1"/>
  <c r="AI171" i="1"/>
  <c r="AM171" i="1"/>
  <c r="AF171" i="1"/>
  <c r="AJ171" i="1"/>
  <c r="AN171" i="1"/>
  <c r="AG171" i="1"/>
  <c r="AK171" i="1"/>
  <c r="AO171" i="1"/>
  <c r="AD171" i="1"/>
  <c r="AH171" i="1"/>
  <c r="AL171" i="1"/>
  <c r="AP171" i="1"/>
  <c r="AE75" i="1"/>
  <c r="AI75" i="1"/>
  <c r="AF75" i="1"/>
  <c r="AK75" i="1"/>
  <c r="AO75" i="1"/>
  <c r="AG75" i="1"/>
  <c r="AL75" i="1"/>
  <c r="AP75" i="1"/>
  <c r="AH75" i="1"/>
  <c r="AM75" i="1"/>
  <c r="AD75" i="1"/>
  <c r="AJ75" i="1"/>
  <c r="AN75" i="1"/>
  <c r="AF23" i="1"/>
  <c r="AJ23" i="1"/>
  <c r="AN23" i="1"/>
  <c r="AG23" i="1"/>
  <c r="AK23" i="1"/>
  <c r="AO23" i="1"/>
  <c r="AE23" i="1"/>
  <c r="AI23" i="1"/>
  <c r="AM23" i="1"/>
  <c r="AP23" i="1"/>
  <c r="AD23" i="1"/>
  <c r="AH23" i="1"/>
  <c r="AL23" i="1"/>
  <c r="AE175" i="1"/>
  <c r="AI175" i="1"/>
  <c r="AM175" i="1"/>
  <c r="AF175" i="1"/>
  <c r="AJ175" i="1"/>
  <c r="AG175" i="1"/>
  <c r="AK175" i="1"/>
  <c r="AO175" i="1"/>
  <c r="AD175" i="1"/>
  <c r="AH175" i="1"/>
  <c r="AL175" i="1"/>
  <c r="AP175" i="1"/>
  <c r="AN175" i="1"/>
  <c r="AG177" i="1"/>
  <c r="AK177" i="1"/>
  <c r="AO177" i="1"/>
  <c r="AE177" i="1"/>
  <c r="AI177" i="1"/>
  <c r="AM177" i="1"/>
  <c r="AF177" i="1"/>
  <c r="AJ177" i="1"/>
  <c r="AN177" i="1"/>
  <c r="AH177" i="1"/>
  <c r="AL177" i="1"/>
  <c r="AP177" i="1"/>
  <c r="AD177" i="1"/>
  <c r="AF145" i="1"/>
  <c r="AJ145" i="1"/>
  <c r="AN145" i="1"/>
  <c r="AD145" i="1"/>
  <c r="AH145" i="1"/>
  <c r="AL145" i="1"/>
  <c r="AP145" i="1"/>
  <c r="AE145" i="1"/>
  <c r="AI145" i="1"/>
  <c r="AM145" i="1"/>
  <c r="AG145" i="1"/>
  <c r="AK145" i="1"/>
  <c r="AO145" i="1"/>
  <c r="AF100" i="1"/>
  <c r="AJ100" i="1"/>
  <c r="AN100" i="1"/>
  <c r="AD100" i="1"/>
  <c r="AH100" i="1"/>
  <c r="AL100" i="1"/>
  <c r="AP100" i="1"/>
  <c r="AE100" i="1"/>
  <c r="AI100" i="1"/>
  <c r="AM100" i="1"/>
  <c r="AK100" i="1"/>
  <c r="AO100" i="1"/>
  <c r="AG100" i="1"/>
  <c r="AF68" i="1"/>
  <c r="AJ68" i="1"/>
  <c r="AN68" i="1"/>
  <c r="AG68" i="1"/>
  <c r="AK68" i="1"/>
  <c r="AO68" i="1"/>
  <c r="AD68" i="1"/>
  <c r="AH68" i="1"/>
  <c r="AL68" i="1"/>
  <c r="AP68" i="1"/>
  <c r="AE68" i="1"/>
  <c r="AI68" i="1"/>
  <c r="AM68" i="1"/>
  <c r="AG37" i="1"/>
  <c r="AK37" i="1"/>
  <c r="AO37" i="1"/>
  <c r="AD37" i="1"/>
  <c r="AH37" i="1"/>
  <c r="AL37" i="1"/>
  <c r="AP37" i="1"/>
  <c r="AE37" i="1"/>
  <c r="AI37" i="1"/>
  <c r="AM37" i="1"/>
  <c r="AF37" i="1"/>
  <c r="AJ37" i="1"/>
  <c r="AN37" i="1"/>
  <c r="AE163" i="1"/>
  <c r="AI163" i="1"/>
  <c r="AM163" i="1"/>
  <c r="AF163" i="1"/>
  <c r="AJ163" i="1"/>
  <c r="AN163" i="1"/>
  <c r="AG163" i="1"/>
  <c r="AK163" i="1"/>
  <c r="AO163" i="1"/>
  <c r="AD163" i="1"/>
  <c r="AH163" i="1"/>
  <c r="AL163" i="1"/>
  <c r="AP163" i="1"/>
  <c r="AG99" i="1"/>
  <c r="AK99" i="1"/>
  <c r="AO99" i="1"/>
  <c r="AE99" i="1"/>
  <c r="AI99" i="1"/>
  <c r="AM99" i="1"/>
  <c r="AF99" i="1"/>
  <c r="AJ99" i="1"/>
  <c r="AN99" i="1"/>
  <c r="AH99" i="1"/>
  <c r="AL99" i="1"/>
  <c r="AP99" i="1"/>
  <c r="AD99" i="1"/>
  <c r="AF51" i="1"/>
  <c r="AJ51" i="1"/>
  <c r="AN51" i="1"/>
  <c r="AG51" i="1"/>
  <c r="AK51" i="1"/>
  <c r="AO51" i="1"/>
  <c r="AD51" i="1"/>
  <c r="AH51" i="1"/>
  <c r="AL51" i="1"/>
  <c r="AP51" i="1"/>
  <c r="AE51" i="1"/>
  <c r="AI51" i="1"/>
  <c r="AM51" i="1"/>
  <c r="AF19" i="1"/>
  <c r="AJ19" i="1"/>
  <c r="AN19" i="1"/>
  <c r="AG19" i="1"/>
  <c r="AK19" i="1"/>
  <c r="AO19" i="1"/>
  <c r="AE19" i="1"/>
  <c r="AI19" i="1"/>
  <c r="AM19" i="1"/>
  <c r="AD19" i="1"/>
  <c r="AH19" i="1"/>
  <c r="AL19" i="1"/>
  <c r="AP19" i="1"/>
  <c r="AG119" i="1"/>
  <c r="AK119" i="1"/>
  <c r="AO119" i="1"/>
  <c r="AF119" i="1"/>
  <c r="AJ119" i="1"/>
  <c r="AN119" i="1"/>
  <c r="AH119" i="1"/>
  <c r="AP119" i="1"/>
  <c r="AI119" i="1"/>
  <c r="AD119" i="1"/>
  <c r="AL119" i="1"/>
  <c r="AE119" i="1"/>
  <c r="AM119" i="1"/>
  <c r="AE185" i="1"/>
  <c r="AI185" i="1"/>
  <c r="AM185" i="1"/>
  <c r="AF185" i="1"/>
  <c r="AJ185" i="1"/>
  <c r="AN185" i="1"/>
  <c r="AD185" i="1"/>
  <c r="AL185" i="1"/>
  <c r="AG185" i="1"/>
  <c r="AO185" i="1"/>
  <c r="AH185" i="1"/>
  <c r="AP185" i="1"/>
  <c r="AK185" i="1"/>
  <c r="AD147" i="1"/>
  <c r="AH147" i="1"/>
  <c r="AL147" i="1"/>
  <c r="AP147" i="1"/>
  <c r="AF147" i="1"/>
  <c r="AJ147" i="1"/>
  <c r="AN147" i="1"/>
  <c r="AG147" i="1"/>
  <c r="AK147" i="1"/>
  <c r="AO147" i="1"/>
  <c r="AM147" i="1"/>
  <c r="AE147" i="1"/>
  <c r="AI147" i="1"/>
  <c r="AD9" i="1"/>
  <c r="AH9" i="1"/>
  <c r="AL9" i="1"/>
  <c r="AP9" i="1"/>
  <c r="AE9" i="1"/>
  <c r="AI9" i="1"/>
  <c r="AM9" i="1"/>
  <c r="AG9" i="1"/>
  <c r="AK9" i="1"/>
  <c r="AO9" i="1"/>
  <c r="AF9" i="1"/>
  <c r="AJ9" i="1"/>
  <c r="AN9" i="1"/>
  <c r="AD127" i="1"/>
  <c r="AH127" i="1"/>
  <c r="AL127" i="1"/>
  <c r="AP127" i="1"/>
  <c r="AE127" i="1"/>
  <c r="AI127" i="1"/>
  <c r="AM127" i="1"/>
  <c r="AF127" i="1"/>
  <c r="AJ127" i="1"/>
  <c r="AN127" i="1"/>
  <c r="AG127" i="1"/>
  <c r="AK127" i="1"/>
  <c r="AO127" i="1"/>
  <c r="AF11" i="1"/>
  <c r="AJ11" i="1"/>
  <c r="AN11" i="1"/>
  <c r="AG11" i="1"/>
  <c r="AK11" i="1"/>
  <c r="AO11" i="1"/>
  <c r="AE11" i="1"/>
  <c r="AI11" i="1"/>
  <c r="AM11" i="1"/>
  <c r="AL11" i="1"/>
  <c r="AP11" i="1"/>
  <c r="AD11" i="1"/>
  <c r="AH11" i="1"/>
  <c r="AF108" i="1"/>
  <c r="AJ108" i="1"/>
  <c r="AN108" i="1"/>
  <c r="AD108" i="1"/>
  <c r="AH108" i="1"/>
  <c r="AL108" i="1"/>
  <c r="AP108" i="1"/>
  <c r="AE108" i="1"/>
  <c r="AI108" i="1"/>
  <c r="AM108" i="1"/>
  <c r="AG108" i="1"/>
  <c r="AK108" i="1"/>
  <c r="AO108" i="1"/>
  <c r="AF129" i="1"/>
  <c r="AJ129" i="1"/>
  <c r="AN129" i="1"/>
  <c r="AG129" i="1"/>
  <c r="AK129" i="1"/>
  <c r="AO129" i="1"/>
  <c r="AD129" i="1"/>
  <c r="AH129" i="1"/>
  <c r="AL129" i="1"/>
  <c r="AP129" i="1"/>
  <c r="AE129" i="1"/>
  <c r="AI129" i="1"/>
  <c r="AM129" i="1"/>
  <c r="AF200" i="1"/>
  <c r="AJ200" i="1"/>
  <c r="AN200" i="1"/>
  <c r="AG200" i="1"/>
  <c r="AK200" i="1"/>
  <c r="AO200" i="1"/>
  <c r="AI200" i="1"/>
  <c r="AD200" i="1"/>
  <c r="AL200" i="1"/>
  <c r="AE200" i="1"/>
  <c r="AM200" i="1"/>
  <c r="AH200" i="1"/>
  <c r="AP200" i="1"/>
  <c r="AF104" i="1"/>
  <c r="AJ104" i="1"/>
  <c r="AN104" i="1"/>
  <c r="AD104" i="1"/>
  <c r="AH104" i="1"/>
  <c r="AL104" i="1"/>
  <c r="AP104" i="1"/>
  <c r="AE104" i="1"/>
  <c r="AI104" i="1"/>
  <c r="AM104" i="1"/>
  <c r="AG104" i="1"/>
  <c r="AK104" i="1"/>
  <c r="AO104" i="1"/>
  <c r="AD32" i="1"/>
  <c r="AH32" i="1"/>
  <c r="AL32" i="1"/>
  <c r="AP32" i="1"/>
  <c r="AE32" i="1"/>
  <c r="AI32" i="1"/>
  <c r="AM32" i="1"/>
  <c r="AF32" i="1"/>
  <c r="AJ32" i="1"/>
  <c r="AN32" i="1"/>
  <c r="AG32" i="1"/>
  <c r="AK32" i="1"/>
  <c r="AO32" i="1"/>
  <c r="AD180" i="1"/>
  <c r="AH180" i="1"/>
  <c r="AF180" i="1"/>
  <c r="AJ180" i="1"/>
  <c r="AN180" i="1"/>
  <c r="AG180" i="1"/>
  <c r="AK180" i="1"/>
  <c r="AO180" i="1"/>
  <c r="AM180" i="1"/>
  <c r="AE180" i="1"/>
  <c r="AP180" i="1"/>
  <c r="AI180" i="1"/>
  <c r="AL180" i="1"/>
  <c r="AF112" i="1"/>
  <c r="AJ112" i="1"/>
  <c r="AN112" i="1"/>
  <c r="AD112" i="1"/>
  <c r="AH112" i="1"/>
  <c r="AL112" i="1"/>
  <c r="AP112" i="1"/>
  <c r="AE112" i="1"/>
  <c r="AI112" i="1"/>
  <c r="AM112" i="1"/>
  <c r="AO112" i="1"/>
  <c r="AG112" i="1"/>
  <c r="AK112" i="1"/>
  <c r="AO5" i="1"/>
  <c r="AK5" i="1"/>
  <c r="AN5" i="1"/>
  <c r="AJ5" i="1"/>
  <c r="AF5" i="1"/>
  <c r="AI5" i="1"/>
  <c r="AL5" i="1"/>
  <c r="AE5" i="1"/>
  <c r="AG5" i="1"/>
  <c r="AH5" i="1"/>
  <c r="AM5" i="1"/>
  <c r="AX8" i="1" l="1"/>
  <c r="AX18" i="1" s="1"/>
  <c r="AW8" i="1"/>
  <c r="AW18" i="1" s="1"/>
  <c r="AV8" i="1"/>
  <c r="AV18" i="1" s="1"/>
  <c r="BA8" i="1"/>
  <c r="BA18" i="1" s="1"/>
  <c r="BF8" i="1"/>
  <c r="BF18" i="1" s="1"/>
  <c r="AU8" i="1"/>
  <c r="AU18" i="1" s="1"/>
  <c r="AZ8" i="1"/>
  <c r="AZ18" i="1" s="1"/>
  <c r="BE8" i="1"/>
  <c r="BE18" i="1" s="1"/>
  <c r="AY8" i="1"/>
  <c r="AY18" i="1" s="1"/>
  <c r="AT8" i="1"/>
  <c r="AT18" i="1" s="1"/>
  <c r="BC8" i="1"/>
  <c r="BC18" i="1" s="1"/>
  <c r="BB8" i="1"/>
  <c r="BB18" i="1" s="1"/>
  <c r="BD8" i="1"/>
  <c r="BD1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JOEL ALEJANDRO LONDOÑO VALENCIA</author>
  </authors>
  <commentList>
    <comment ref="B2" authorId="0" shapeId="0" xr:uid="{08260EB4-385F-462E-BB00-3073E8CAEB58}">
      <text>
        <r>
          <rPr>
            <b/>
            <sz val="9"/>
            <color indexed="81"/>
            <rFont val="Tahoma"/>
            <family val="2"/>
          </rPr>
          <t>JOE ALEJANDRO LONDOÑO VALENCIA:</t>
        </r>
        <r>
          <rPr>
            <sz val="9"/>
            <color indexed="81"/>
            <rFont val="Tahoma"/>
            <family val="2"/>
          </rPr>
          <t xml:space="preserve">
Para este caso como variable explicativa solo se toma una variable "x_1".
Igualmente, como en Red 1, los valores fueron generados por un proceso aleatorio.
 </t>
        </r>
      </text>
    </comment>
    <comment ref="K2" authorId="0" shapeId="0" xr:uid="{7CE0F1E7-1605-4D9A-8ACE-8EF2BC85E373}">
      <text>
        <r>
          <rPr>
            <b/>
            <sz val="9"/>
            <color indexed="81"/>
            <rFont val="Tahoma"/>
            <family val="2"/>
          </rPr>
          <t xml:space="preserve">JOE ALEJANDRO LONDOÑO VALENCIA:
</t>
        </r>
        <r>
          <rPr>
            <sz val="9"/>
            <color indexed="81"/>
            <rFont val="Tahoma"/>
            <family val="2"/>
          </rPr>
          <t xml:space="preserve">esta hace referencia a la capa oculta de la red neuronal, para esta se han especificado 4 neuronas. 
</t>
        </r>
      </text>
    </comment>
    <comment ref="W2" authorId="0" shapeId="0" xr:uid="{0B39CC21-4D75-4044-BC35-461454AEBD3D}">
      <text>
        <r>
          <rPr>
            <b/>
            <sz val="9"/>
            <color indexed="81"/>
            <rFont val="Tahoma"/>
            <family val="2"/>
          </rPr>
          <t xml:space="preserve">JOE ALEJANDRO LONDOÑO VALENCIA:
</t>
        </r>
        <r>
          <rPr>
            <sz val="9"/>
            <color indexed="81"/>
            <rFont val="Tahoma"/>
            <family val="2"/>
          </rPr>
          <t>esta capa de salida es en gran parecida a la capa oculta, con la diferencia de que esta tan solo posee una neurona.</t>
        </r>
        <r>
          <rPr>
            <sz val="9"/>
            <color indexed="81"/>
            <rFont val="Tahoma"/>
            <family val="2"/>
          </rPr>
          <t xml:space="preserve">
</t>
        </r>
      </text>
    </comment>
    <comment ref="K3" authorId="0" shapeId="0" xr:uid="{6339DCCA-4E58-4882-BE7A-FAC9133068FF}">
      <text>
        <r>
          <rPr>
            <b/>
            <sz val="9"/>
            <color indexed="81"/>
            <rFont val="Tahoma"/>
            <family val="2"/>
          </rPr>
          <t>JOE ALEJANDRO LONDOÑO VALENCIA:</t>
        </r>
        <r>
          <rPr>
            <sz val="9"/>
            <color indexed="81"/>
            <rFont val="Tahoma"/>
            <family val="2"/>
          </rPr>
          <t xml:space="preserve">
más abajo se especifican cada uno de los pesos que se la darán a las neuronas, estos pesos tal como en la Red 1 son aleatorios.
</t>
        </r>
      </text>
    </comment>
    <comment ref="M3" authorId="0" shapeId="0" xr:uid="{FF213B0D-C11F-4EE2-BE1C-D0168E2F48DA}">
      <text>
        <r>
          <rPr>
            <b/>
            <sz val="9"/>
            <color indexed="81"/>
            <rFont val="Tahoma"/>
            <family val="2"/>
          </rPr>
          <t xml:space="preserve">JOE ALEJANDRO LONDOÑO VALENCIA:
</t>
        </r>
        <r>
          <rPr>
            <sz val="9"/>
            <color indexed="81"/>
            <rFont val="Tahoma"/>
            <family val="2"/>
          </rPr>
          <t xml:space="preserve">las variables x1, x 2, x3 y x4, son el resultado de aplicar la función establecida en cada una de las neuronas a los datos x_1.
</t>
        </r>
      </text>
    </comment>
    <comment ref="R3" authorId="0" shapeId="0" xr:uid="{B1A8C398-E845-4261-8D92-E420BA964E22}">
      <text>
        <r>
          <rPr>
            <b/>
            <sz val="9"/>
            <color indexed="81"/>
            <rFont val="Tahoma"/>
            <family val="2"/>
          </rPr>
          <t xml:space="preserve">JOE ALEJANDRO LONDOÑO VALENCIA:
</t>
        </r>
        <r>
          <rPr>
            <sz val="9"/>
            <color indexed="81"/>
            <rFont val="Tahoma"/>
            <family val="2"/>
          </rPr>
          <t xml:space="preserve">a diferencia de la Red 1, en esta  se implementa funciones de activación, las cueles le permiten a la red neuronal el ajuste a series que no presenten una relación lineal.
En este caso se ha estipulado  una función conocida como  Relu,  la cual es igual a cero si  su entrada es menor o igual que cero e igual a su estrada si esta se mayor que cero.
</t>
        </r>
      </text>
    </comment>
    <comment ref="AD3" authorId="0" shapeId="0" xr:uid="{0D3E160E-0EED-4314-A324-97C975DDDDF9}">
      <text>
        <r>
          <rPr>
            <b/>
            <sz val="9"/>
            <color indexed="81"/>
            <rFont val="Tahoma"/>
            <family val="2"/>
          </rPr>
          <t>JOE ALEJANDRO LONDOÑO VALENCIA:</t>
        </r>
        <r>
          <rPr>
            <sz val="9"/>
            <color indexed="81"/>
            <rFont val="Tahoma"/>
            <family val="2"/>
          </rPr>
          <t xml:space="preserve">
gradientes de cada uno de los parámetros de la red neuronal. Estos se calculan análogamente a los de la Red 1. De igual forma se mide el error por medio del error cuadrático medio.</t>
        </r>
      </text>
    </comment>
    <comment ref="G4" authorId="0" shapeId="0" xr:uid="{565C4D90-CB52-409B-8B3A-8E39E434DB92}">
      <text>
        <r>
          <rPr>
            <b/>
            <sz val="9"/>
            <color indexed="81"/>
            <rFont val="Tahoma"/>
            <family val="2"/>
          </rPr>
          <t>JOE ALEJANDRO LONDOÑO VALENCIA:</t>
        </r>
        <r>
          <rPr>
            <sz val="9"/>
            <color indexed="81"/>
            <rFont val="Tahoma"/>
            <family val="2"/>
          </rPr>
          <t xml:space="preserve">
Formula generadora de la variable y, para este caso se toma una función cuadrática, esto con el fin  de mostrar el ajuste de las redes neuronales a series no lineales.</t>
        </r>
      </text>
    </comment>
    <comment ref="I4" authorId="0" shapeId="0" xr:uid="{91E8177A-A31A-44C0-912A-107ED75853E6}">
      <text>
        <r>
          <rPr>
            <b/>
            <sz val="9"/>
            <color indexed="81"/>
            <rFont val="Tahoma"/>
            <family val="2"/>
          </rPr>
          <t>JOE ALEJANDRO LONDOÑO VALENCIA:</t>
        </r>
        <r>
          <rPr>
            <sz val="9"/>
            <color indexed="81"/>
            <rFont val="Tahoma"/>
            <family val="2"/>
          </rPr>
          <t xml:space="preserve">
Variable dependiente.</t>
        </r>
      </text>
    </comment>
    <comment ref="Z4" authorId="0" shapeId="0" xr:uid="{66175839-988E-415F-801C-5A428ED52F55}">
      <text>
        <r>
          <rPr>
            <b/>
            <sz val="9"/>
            <color indexed="81"/>
            <rFont val="Tahoma"/>
            <family val="2"/>
          </rPr>
          <t xml:space="preserve">JOE ALEJANDRO LONDOÑO VALENCIA:
</t>
        </r>
        <r>
          <rPr>
            <sz val="9"/>
            <color indexed="81"/>
            <rFont val="Tahoma"/>
            <family val="2"/>
          </rPr>
          <t xml:space="preserve">en esta se halla la salida de la red neuronal, la cual es analoga a la estimación de la variable y.
</t>
        </r>
      </text>
    </comment>
    <comment ref="AB4" authorId="0" shapeId="0" xr:uid="{B27DA28F-F660-403F-8139-D4D60E1989C5}">
      <text>
        <r>
          <rPr>
            <b/>
            <sz val="9"/>
            <color indexed="81"/>
            <rFont val="Tahoma"/>
            <family val="2"/>
          </rPr>
          <t>JOE ALEJANDRO LONDOÑO VALENCIA:</t>
        </r>
        <r>
          <rPr>
            <sz val="9"/>
            <color indexed="81"/>
            <rFont val="Tahoma"/>
            <family val="2"/>
          </rPr>
          <t xml:space="preserve">
diferencia entre la variable "y", y el valor estimado por la red neuronal.</t>
        </r>
      </text>
    </comment>
    <comment ref="AT4" authorId="0" shapeId="0" xr:uid="{39C62F90-E317-448A-B36F-8290CE0072BE}">
      <text>
        <r>
          <rPr>
            <b/>
            <sz val="9"/>
            <color indexed="81"/>
            <rFont val="Tahoma"/>
            <family val="2"/>
          </rPr>
          <t>JOE ALEJANDRO LONDOÑO VALENCIA:</t>
        </r>
        <r>
          <rPr>
            <sz val="9"/>
            <color indexed="81"/>
            <rFont val="Tahoma"/>
            <family val="2"/>
          </rPr>
          <t xml:space="preserve">
numero de observaciones en la muetra.</t>
        </r>
      </text>
    </comment>
    <comment ref="AT6" authorId="0" shapeId="0" xr:uid="{064B5A37-1E45-4E8D-A8DD-65DF55315C94}">
      <text>
        <r>
          <rPr>
            <b/>
            <sz val="9"/>
            <color indexed="81"/>
            <rFont val="Tahoma"/>
            <family val="2"/>
          </rPr>
          <t xml:space="preserve">JOE ALEJANDRO LONDOÑO VALENCIA:
</t>
        </r>
        <r>
          <rPr>
            <sz val="9"/>
            <color indexed="81"/>
            <rFont val="Tahoma"/>
            <family val="2"/>
          </rPr>
          <t>representa la suma de las gradientes de cada uno de los parametros</t>
        </r>
        <r>
          <rPr>
            <sz val="9"/>
            <color indexed="81"/>
            <rFont val="Tahoma"/>
            <family val="2"/>
          </rPr>
          <t xml:space="preserve">
</t>
        </r>
      </text>
    </comment>
    <comment ref="AT12" authorId="0" shapeId="0" xr:uid="{A4A26D95-A910-4891-97FB-A2FBB5E1A27F}">
      <text>
        <r>
          <rPr>
            <b/>
            <sz val="9"/>
            <color indexed="81"/>
            <rFont val="Tahoma"/>
            <family val="2"/>
          </rPr>
          <t>JOE ALEJANDRO LONDOÑO VALENCIA:</t>
        </r>
        <r>
          <rPr>
            <sz val="9"/>
            <color indexed="81"/>
            <rFont val="Tahoma"/>
            <family val="2"/>
          </rPr>
          <t xml:space="preserve">
en este lugar se pueden definir los valores de los pesos con los que se quiere que la red comience.</t>
        </r>
      </text>
    </comment>
    <comment ref="AT13" authorId="0" shapeId="0" xr:uid="{701EF832-D7F8-4935-AA46-6D1FFB8FB32D}">
      <text>
        <r>
          <rPr>
            <b/>
            <sz val="9"/>
            <color indexed="81"/>
            <rFont val="Tahoma"/>
            <family val="2"/>
          </rPr>
          <t>JOE ALEJANDRO LONDOÑO VALENCIA:</t>
        </r>
        <r>
          <rPr>
            <sz val="9"/>
            <color indexed="81"/>
            <rFont val="Tahoma"/>
            <family val="2"/>
          </rPr>
          <t xml:space="preserve">
Se recomienda que los pesos iniciales se encuentren entre 0 y 1.
 </t>
        </r>
      </text>
    </comment>
    <comment ref="AT16" authorId="0" shapeId="0" xr:uid="{040371DA-4946-4521-9BB2-58F71D408FF5}">
      <text>
        <r>
          <rPr>
            <b/>
            <sz val="9"/>
            <color indexed="81"/>
            <rFont val="Tahoma"/>
            <family val="2"/>
          </rPr>
          <t>JOE ALEJANDRO LONDOÑO VALENCIA:</t>
        </r>
        <r>
          <rPr>
            <sz val="9"/>
            <color indexed="81"/>
            <rFont val="Tahoma"/>
            <family val="2"/>
          </rPr>
          <t xml:space="preserve">
en esta parte se calibran los valores de los nuevos pesos, teniendo  en cuenta la suma de gradientes y la tasa de aprendizaje.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JOEL ALEJANDRO LONDOÑO VALENCIA</author>
  </authors>
  <commentList>
    <comment ref="N1" authorId="0" shapeId="0" xr:uid="{B6A7EA71-9707-460F-82D3-86E3F0537422}">
      <text>
        <r>
          <rPr>
            <b/>
            <sz val="9"/>
            <color indexed="81"/>
            <rFont val="Tahoma"/>
            <family val="2"/>
          </rPr>
          <t xml:space="preserve">JOE ALEJANDRO LONDOÑO VALENCIA:
</t>
        </r>
        <r>
          <rPr>
            <sz val="9"/>
            <color indexed="81"/>
            <rFont val="Tahoma"/>
            <family val="2"/>
          </rPr>
          <t xml:space="preserve">los valores que se encuentran en la parte de bajo: ssea, sseb1 y sseb2, hacen referencia a los valores de las gradientes para cado uno de los parámetros siento a, b1 y b2 respectivamente.
Por medio de estos la red neuronal va estimando los valores que más se ajusten de a, b1 y b2, a los valores originales de estos.
la derivación de las gradientes se obtuvo por medio de la diferenciación de la función de perdida, tomándose esta última como el valor cuadrático medio.
 </t>
        </r>
      </text>
    </comment>
    <comment ref="A2" authorId="0" shapeId="0" xr:uid="{691CFAFC-1ED7-47F4-836C-492AB5BDDC89}">
      <text>
        <r>
          <rPr>
            <b/>
            <sz val="9"/>
            <color indexed="81"/>
            <rFont val="Tahoma"/>
            <family val="2"/>
          </rPr>
          <t>JOE ALEJANDRO LONDOÑO VALENCIA:</t>
        </r>
        <r>
          <rPr>
            <sz val="9"/>
            <color indexed="81"/>
            <rFont val="Tahoma"/>
            <family val="2"/>
          </rPr>
          <t xml:space="preserve">
Estas variables ("x1", "x2") se han generado por medio de un proceso aleatorio. Para este ejemplo se tomarán como variables regresoras o explicativas. Con las cuales se generarán los datos para el entreno de la red, y a su vez servirán para el entreno de esta última.
</t>
        </r>
      </text>
    </comment>
    <comment ref="F2" authorId="0" shapeId="0" xr:uid="{CFA0331C-E264-4741-A2D5-8899A336D898}">
      <text>
        <r>
          <rPr>
            <b/>
            <sz val="9"/>
            <color indexed="81"/>
            <rFont val="Tahoma"/>
            <family val="2"/>
          </rPr>
          <t>JOE ALEJANDRO LONDOÑO VALENCIA:</t>
        </r>
        <r>
          <rPr>
            <sz val="9"/>
            <color indexed="81"/>
            <rFont val="Tahoma"/>
            <family val="2"/>
          </rPr>
          <t xml:space="preserve">
Variable dependiente, producto de la implentación de las variables "x1" y "x2", en la la fórmula 1.</t>
        </r>
      </text>
    </comment>
    <comment ref="H2" authorId="0" shapeId="0" xr:uid="{E822E50B-21BC-42D0-A68E-92F49A1658F5}">
      <text>
        <r>
          <rPr>
            <b/>
            <sz val="9"/>
            <color indexed="81"/>
            <rFont val="Tahoma"/>
            <family val="2"/>
          </rPr>
          <t>JOE ALEJANDRO LONDOÑO VALENCIA:</t>
        </r>
        <r>
          <rPr>
            <sz val="9"/>
            <color indexed="81"/>
            <rFont val="Tahoma"/>
            <family val="2"/>
          </rPr>
          <t xml:space="preserve">
Los valores a continuación representan los pesos que la red neuronal le dá a cada una de las variables independientes. 
Estos valores en un principio son aleatorios (si se quiere antes de ejecutar la macro se puede asignar el valor que se quiera a estos), para posteriormente ser recalculados por la red neuronal.   
b1: peso de la variable x1
b2: peso de la variable x2
a: intercepto calculado por la red neuronal
</t>
        </r>
      </text>
    </comment>
    <comment ref="J2" authorId="0" shapeId="0" xr:uid="{CE913303-93DC-41FF-B84C-943E45BC1C0B}">
      <text>
        <r>
          <rPr>
            <b/>
            <sz val="9"/>
            <color indexed="81"/>
            <rFont val="Tahoma"/>
            <family val="2"/>
          </rPr>
          <t>JOE ALEJANDRO LONDOÑO VALENCIA:</t>
        </r>
        <r>
          <rPr>
            <sz val="9"/>
            <color indexed="81"/>
            <rFont val="Tahoma"/>
            <family val="2"/>
          </rPr>
          <t xml:space="preserve">
Dando clic en el botón ejecutar, la red neuronal se correrá. Se debe tener en cuenta que el aprendizaje depende de: tasa de aprendizaje, y del número de iteraciones (este se puede definir en la macro que tienen adscrita el botón).</t>
        </r>
      </text>
    </comment>
    <comment ref="L2" authorId="0" shapeId="0" xr:uid="{085C1015-76AD-413B-B01C-75252C1AF489}">
      <text>
        <r>
          <rPr>
            <b/>
            <sz val="9"/>
            <color indexed="81"/>
            <rFont val="Tahoma"/>
            <family val="2"/>
          </rPr>
          <t>JOE ALEJANDRO LONDOÑO VALENCIA:</t>
        </r>
        <r>
          <rPr>
            <sz val="9"/>
            <color indexed="81"/>
            <rFont val="Tahoma"/>
            <family val="2"/>
          </rPr>
          <t xml:space="preserve">
Valor que ajusta la red neuronal a los datos y dadas las variables x1, x2.</t>
        </r>
      </text>
    </comment>
    <comment ref="M2" authorId="0" shapeId="0" xr:uid="{649D8F6A-4DD1-4E38-AC66-78E584D31980}">
      <text>
        <r>
          <rPr>
            <b/>
            <sz val="9"/>
            <color indexed="81"/>
            <rFont val="Tahoma"/>
            <family val="2"/>
          </rPr>
          <t>JOE ALEJANDRO LONDOÑO VALENCIA:</t>
        </r>
        <r>
          <rPr>
            <sz val="9"/>
            <color indexed="81"/>
            <rFont val="Tahoma"/>
            <family val="2"/>
          </rPr>
          <t xml:space="preserve">
En este vector se muestra la diferencia entre la variable objetivo "y", y la salida o el valor estimado por la red neuronal.</t>
        </r>
      </text>
    </comment>
    <comment ref="D3" authorId="0" shapeId="0" xr:uid="{0BBD132D-B13A-4647-920B-882A43765A60}">
      <text>
        <r>
          <rPr>
            <b/>
            <sz val="9"/>
            <color indexed="81"/>
            <rFont val="Tahoma"/>
            <family val="2"/>
          </rPr>
          <t xml:space="preserve">JOE ALEJANDRO LONDOÑO VALENCIA:
</t>
        </r>
        <r>
          <rPr>
            <sz val="9"/>
            <color indexed="81"/>
            <rFont val="Tahoma"/>
            <family val="2"/>
          </rPr>
          <t xml:space="preserve">Mediante la siguiente formulación se generarán los datos a los cuales se deberá  ajustar la red neuronal.  
</t>
        </r>
      </text>
    </comment>
    <comment ref="D5" authorId="0" shapeId="0" xr:uid="{A5365527-D1CE-4285-8908-C8AD99116EE2}">
      <text>
        <r>
          <rPr>
            <b/>
            <sz val="9"/>
            <color indexed="81"/>
            <rFont val="Tahoma"/>
            <family val="2"/>
          </rPr>
          <t>JOE ALEJANDRO LONDOÑO VALENCIA:</t>
        </r>
        <r>
          <rPr>
            <sz val="9"/>
            <color indexed="81"/>
            <rFont val="Tahoma"/>
            <family val="2"/>
          </rPr>
          <t xml:space="preserve">
Valores numéricos para modelación de datos dependientes.</t>
        </r>
      </text>
    </comment>
    <comment ref="H11" authorId="0" shapeId="0" xr:uid="{6AD891E5-B41B-44EC-B810-9E17D35F2A41}">
      <text>
        <r>
          <rPr>
            <b/>
            <sz val="9"/>
            <color indexed="81"/>
            <rFont val="Tahoma"/>
            <family val="2"/>
          </rPr>
          <t xml:space="preserve">JOE ALEJANDRO LONDOÑO VALENCIA:
</t>
        </r>
        <r>
          <rPr>
            <sz val="9"/>
            <color indexed="81"/>
            <rFont val="Tahoma"/>
            <family val="2"/>
          </rPr>
          <t xml:space="preserve">En este se especifica la suma de los valores obtenidos para las gradientes de a, b1 y b2. los cuales serán utilizados en el hallazgo de los nuevos valores de a, b1 y b2.
</t>
        </r>
      </text>
    </comment>
    <comment ref="H14" authorId="0" shapeId="0" xr:uid="{EC1B2BB6-5ACB-457D-8840-4637D33EC466}">
      <text>
        <r>
          <rPr>
            <b/>
            <sz val="9"/>
            <color indexed="81"/>
            <rFont val="Tahoma"/>
            <family val="2"/>
          </rPr>
          <t>JOE ALEJANDRO LONDOÑO VALENCIA:</t>
        </r>
        <r>
          <rPr>
            <sz val="9"/>
            <color indexed="81"/>
            <rFont val="Tahoma"/>
            <family val="2"/>
          </rPr>
          <t xml:space="preserve">
Ya que una red neuronal no hace un proceso de minimización, si no por un proceso de tanteo de acuerdo con el valor de la gradiente. Es de vital importancia definir la tasa de aprendizaje, ya que de esta depende lo rápido y preciso que sea su aprendizaje. A un mayor valor, probablemente ajuste con mayor rapidez los datos, pero con un error mayor al que se tendría si la tasa de fuera menor. </t>
        </r>
      </text>
    </comment>
    <comment ref="H18" authorId="0" shapeId="0" xr:uid="{1FD655D3-131A-41E2-AAAC-9A49E633F4D3}">
      <text>
        <r>
          <rPr>
            <b/>
            <sz val="9"/>
            <color indexed="81"/>
            <rFont val="Tahoma"/>
            <family val="2"/>
          </rPr>
          <t>JOE ALEJANDRO LONDOÑO VALENCIA:</t>
        </r>
        <r>
          <rPr>
            <sz val="9"/>
            <color indexed="81"/>
            <rFont val="Tahoma"/>
            <family val="2"/>
          </rPr>
          <t xml:space="preserve">
En esta sección se calibran los nuevos pesos de las variables, para su calibración se tienen en cuenta la suma de las gradientes y la tasa de aprendizaje.</t>
        </r>
      </text>
    </comment>
  </commentList>
</comments>
</file>

<file path=xl/sharedStrings.xml><?xml version="1.0" encoding="utf-8"?>
<sst xmlns="http://schemas.openxmlformats.org/spreadsheetml/2006/main" count="146" uniqueCount="70">
  <si>
    <t>Formula</t>
  </si>
  <si>
    <t>y</t>
  </si>
  <si>
    <t>B1</t>
  </si>
  <si>
    <t>B2</t>
  </si>
  <si>
    <t>Y</t>
  </si>
  <si>
    <t>B3</t>
  </si>
  <si>
    <t>B4</t>
  </si>
  <si>
    <t>a</t>
  </si>
  <si>
    <t xml:space="preserve"> </t>
  </si>
  <si>
    <t>salida</t>
  </si>
  <si>
    <t>diferencia</t>
  </si>
  <si>
    <t>ssea</t>
  </si>
  <si>
    <t>Suma gradiente</t>
  </si>
  <si>
    <t>Tasa aprendizaje</t>
  </si>
  <si>
    <t>nuevos pesos</t>
  </si>
  <si>
    <t>x1</t>
  </si>
  <si>
    <t>x2</t>
  </si>
  <si>
    <t>x3</t>
  </si>
  <si>
    <t>x4</t>
  </si>
  <si>
    <t>Variables Explicativas</t>
  </si>
  <si>
    <t>X_1</t>
  </si>
  <si>
    <t>X_2</t>
  </si>
  <si>
    <t>Especificacion Primera capa</t>
  </si>
  <si>
    <t>Valores inicio</t>
  </si>
  <si>
    <t>capa salida</t>
  </si>
  <si>
    <t>Variable respuesta</t>
  </si>
  <si>
    <t xml:space="preserve">Y1=B1+B2Y </t>
  </si>
  <si>
    <t xml:space="preserve">Y2=B1+B2Y </t>
  </si>
  <si>
    <t>Y3=B1+B2Y</t>
  </si>
  <si>
    <t xml:space="preserve">Y4=B1+B2Y </t>
  </si>
  <si>
    <t>B5</t>
  </si>
  <si>
    <t>Funcion Activacion</t>
  </si>
  <si>
    <t>Varaibles con pesos (Salidas)</t>
  </si>
  <si>
    <t>S1</t>
  </si>
  <si>
    <t>Error</t>
  </si>
  <si>
    <t>Funciones gradientes por cada beta</t>
  </si>
  <si>
    <t>Funciones Activacion</t>
  </si>
  <si>
    <t>Numero observaciones</t>
  </si>
  <si>
    <t>Y3=B1+B2Y1 +B3Y2+B4Y3 +B5Y4</t>
  </si>
  <si>
    <t>c1_f1_b1</t>
  </si>
  <si>
    <t>c1_f1_b2</t>
  </si>
  <si>
    <t>c1_f2_b1</t>
  </si>
  <si>
    <t>c1_f2_b2</t>
  </si>
  <si>
    <t>c1_f3_b2</t>
  </si>
  <si>
    <t>c1_f3_b1</t>
  </si>
  <si>
    <t>c1_f4_b1</t>
  </si>
  <si>
    <t>c1_f4_b2</t>
  </si>
  <si>
    <t>cs_f1_b1</t>
  </si>
  <si>
    <t>cs_f1_b2</t>
  </si>
  <si>
    <t>cs_f1_b3</t>
  </si>
  <si>
    <t>cs_f1_b4</t>
  </si>
  <si>
    <t>cs_f1_b5</t>
  </si>
  <si>
    <t>Nuevos valores betas</t>
  </si>
  <si>
    <t>valores originales</t>
  </si>
  <si>
    <t>b1</t>
  </si>
  <si>
    <t>b2</t>
  </si>
  <si>
    <t>sseb2</t>
  </si>
  <si>
    <t>sseb1</t>
  </si>
  <si>
    <t>S1/salida final RED</t>
  </si>
  <si>
    <t xml:space="preserve">Léeme 
En el presente libro de Excel se han configurados dos redes neuronales, las cuales se han hecho con el objetivo de facilitar la comprensión de esta metodología.
 “Red 1”
A priori se ha supuesto que existe una relación entre dos variables “X” (explicativas) y una variable “Y” (dependiente), a saber, esta relación se ha determinado por medio de una regresión lineal. Para este caso se implementará la metodología de ajuste utilizada por las redes neuronales, con el fin de ajustar las variables independientes a la dependiente.  
Se debe tener en cuenta que para este caso se ha supuesto el modelo mas simple de Red Neuronal, ya que solo posee una capa y una neurona, lo cual es análogo a tener una regresión lineal. 
“Red 2”
Para este caso la red neuronal implementada, posee una capa oculta (con 4 neuronas), y una de salida (con 1 neurona). Con el fin de entrenar la red neuronal se han supuesto dos variables una explicativa y otra dependiente; entre las cuales existe una relación cuadrática. </t>
  </si>
  <si>
    <t>fórmula 1</t>
  </si>
  <si>
    <t>y=a+b1*x1+b2*x2</t>
  </si>
  <si>
    <t>valores aleatorios</t>
  </si>
  <si>
    <t>Valores gradientes</t>
  </si>
  <si>
    <t>Y=B+B1*X^(2)</t>
  </si>
  <si>
    <t>Neurona 1</t>
  </si>
  <si>
    <t>Neurona 2</t>
  </si>
  <si>
    <t>Neurona 3</t>
  </si>
  <si>
    <t>Neurona 4</t>
  </si>
  <si>
    <t>Neurona 1 capa salida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</si>
</sst>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
    <numFmt numFmtId="166" formatCode="0.000"/>
    <numFmt numFmtId="167" formatCode="0.000000000"/>
    <numFmt numFmtId="168" formatCode="0.00000"/>
  </numFmts>
  <fonts count="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rgb="FFFF0000"/>
      <name val="Calibri"/>
      <family val="2"/>
      <scheme val="minor"/>
    </font>
    <font>
      <b/>
      <sz val="16"/>
      <color rgb="FF000000"/>
      <name val="Calibri"/>
      <family val="2"/>
    </font>
    <font>
      <b/>
      <sz val="14"/>
      <color rgb="FF000000"/>
      <name val="Calibri"/>
      <family val="2"/>
    </font>
    <font>
      <sz val="11"/>
      <color rgb="FFFF0000"/>
      <name val="Calibri"/>
      <family val="2"/>
      <scheme val="minor"/>
    </font>
  </fonts>
  <fills count="3">
    <fill>
      <patternFill patternType="none"/>
    </fill>
    <fill>
      <patternFill patternType="gray125"/>
    </fill>
    <fill>
      <patternFill patternType="solid">
        <fgColor theme="7"/>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64">
    <xf numFmtId="0" fontId="0" fillId="0" borderId="0" xfId="0"/>
    <xf numFmtId="0" fontId="0" fillId="0" borderId="1" xfId="0" applyBorder="1"/>
    <xf numFmtId="165" fontId="0" fillId="0" borderId="1" xfId="0" applyNumberFormat="1" applyBorder="1"/>
    <xf numFmtId="0" fontId="0" fillId="0" borderId="0" xfId="0" applyBorder="1" applyAlignment="1">
      <alignment horizontal="center" wrapText="1"/>
    </xf>
    <xf numFmtId="0" fontId="0" fillId="0" borderId="0" xfId="0" applyBorder="1"/>
    <xf numFmtId="0" fontId="1" fillId="0" borderId="1" xfId="0" applyFont="1" applyBorder="1"/>
    <xf numFmtId="0" fontId="1" fillId="0" borderId="0" xfId="0" applyFont="1" applyAlignment="1">
      <alignment horizontal="center" wrapText="1"/>
    </xf>
    <xf numFmtId="0" fontId="1" fillId="0" borderId="0" xfId="0" applyFont="1" applyAlignment="1">
      <alignment wrapText="1"/>
    </xf>
    <xf numFmtId="0" fontId="1" fillId="0" borderId="4" xfId="0" applyFont="1" applyBorder="1"/>
    <xf numFmtId="0" fontId="1" fillId="0" borderId="4" xfId="0" applyFont="1" applyBorder="1" applyAlignment="1">
      <alignment horizontal="center" wrapText="1"/>
    </xf>
    <xf numFmtId="0" fontId="1" fillId="0" borderId="0" xfId="0" applyFont="1" applyBorder="1"/>
    <xf numFmtId="0" fontId="4" fillId="0" borderId="0" xfId="0" applyFont="1" applyBorder="1"/>
    <xf numFmtId="0" fontId="1" fillId="0" borderId="1" xfId="0" applyFont="1" applyFill="1" applyBorder="1"/>
    <xf numFmtId="0" fontId="1" fillId="0" borderId="4" xfId="0" applyFont="1" applyFill="1" applyBorder="1"/>
    <xf numFmtId="0" fontId="0" fillId="0" borderId="0" xfId="0" applyBorder="1" applyAlignment="1">
      <alignment wrapText="1"/>
    </xf>
    <xf numFmtId="165" fontId="4" fillId="0" borderId="1" xfId="0" applyNumberFormat="1" applyFont="1" applyBorder="1"/>
    <xf numFmtId="0" fontId="0" fillId="0" borderId="2" xfId="0" applyBorder="1" applyAlignment="1">
      <alignment horizontal="center" wrapText="1"/>
    </xf>
    <xf numFmtId="0" fontId="0" fillId="0" borderId="3" xfId="0" applyBorder="1" applyAlignment="1">
      <alignment horizontal="center" wrapText="1"/>
    </xf>
    <xf numFmtId="0" fontId="0" fillId="0" borderId="0" xfId="0" applyBorder="1" applyAlignment="1">
      <alignment horizontal="center" wrapText="1"/>
    </xf>
    <xf numFmtId="0" fontId="0" fillId="0" borderId="1" xfId="0" applyBorder="1" applyAlignment="1">
      <alignment horizontal="center" wrapText="1"/>
    </xf>
    <xf numFmtId="166" fontId="0" fillId="0" borderId="1" xfId="0" applyNumberFormat="1" applyBorder="1"/>
    <xf numFmtId="164" fontId="0" fillId="0" borderId="1" xfId="0" applyNumberFormat="1" applyBorder="1"/>
    <xf numFmtId="167" fontId="0" fillId="0" borderId="1" xfId="0" applyNumberFormat="1" applyBorder="1"/>
    <xf numFmtId="165" fontId="0" fillId="0" borderId="0" xfId="0" applyNumberFormat="1" applyBorder="1"/>
    <xf numFmtId="164" fontId="4" fillId="0" borderId="1" xfId="0" applyNumberFormat="1" applyFont="1" applyBorder="1"/>
    <xf numFmtId="168" fontId="4" fillId="0" borderId="1" xfId="0" applyNumberFormat="1" applyFont="1" applyBorder="1"/>
    <xf numFmtId="0" fontId="7" fillId="2" borderId="0" xfId="0" applyFont="1" applyFill="1"/>
    <xf numFmtId="0" fontId="1" fillId="0" borderId="5" xfId="0" applyFont="1" applyBorder="1" applyAlignment="1">
      <alignment horizontal="center"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0" fillId="0" borderId="0" xfId="0" applyAlignment="1">
      <alignment horizontal="center" vertical="center" wrapText="1"/>
    </xf>
    <xf numFmtId="0" fontId="1" fillId="0" borderId="9" xfId="0" applyFont="1" applyBorder="1" applyAlignment="1">
      <alignment horizontal="center" vertical="center" wrapText="1"/>
    </xf>
    <xf numFmtId="0" fontId="1" fillId="0" borderId="8" xfId="0"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13" xfId="0" applyFont="1" applyBorder="1" applyAlignment="1">
      <alignment horizontal="center" vertical="center" wrapText="1"/>
    </xf>
    <xf numFmtId="0" fontId="1" fillId="0" borderId="14" xfId="0" applyFont="1" applyBorder="1" applyAlignment="1">
      <alignment horizontal="center" wrapText="1"/>
    </xf>
    <xf numFmtId="0" fontId="1" fillId="0" borderId="15" xfId="0" applyFont="1" applyBorder="1" applyAlignment="1">
      <alignment horizontal="center" wrapText="1"/>
    </xf>
    <xf numFmtId="0" fontId="1" fillId="0" borderId="16" xfId="0" applyFont="1" applyBorder="1" applyAlignment="1">
      <alignment horizontal="center" wrapText="1"/>
    </xf>
    <xf numFmtId="0" fontId="1" fillId="0" borderId="4" xfId="0" applyFont="1" applyBorder="1" applyAlignment="1">
      <alignment horizontal="center"/>
    </xf>
    <xf numFmtId="0" fontId="1" fillId="0" borderId="17" xfId="0" applyFont="1" applyBorder="1" applyAlignment="1">
      <alignment horizontal="center" wrapText="1"/>
    </xf>
    <xf numFmtId="0" fontId="1" fillId="0" borderId="18" xfId="0" applyFont="1" applyBorder="1" applyAlignment="1">
      <alignment horizont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0" fillId="0" borderId="2" xfId="0" applyBorder="1" applyAlignment="1">
      <alignment horizontal="center" wrapText="1"/>
    </xf>
    <xf numFmtId="0" fontId="0" fillId="0" borderId="3" xfId="0" applyBorder="1" applyAlignment="1">
      <alignment horizontal="center" wrapText="1"/>
    </xf>
    <xf numFmtId="0" fontId="1" fillId="0" borderId="20" xfId="0" applyFont="1" applyBorder="1" applyAlignment="1">
      <alignment horizontal="center" wrapText="1"/>
    </xf>
    <xf numFmtId="0" fontId="1" fillId="0" borderId="21" xfId="0" applyFont="1" applyBorder="1" applyAlignment="1">
      <alignment horizontal="center" wrapText="1"/>
    </xf>
    <xf numFmtId="0" fontId="1" fillId="0" borderId="22" xfId="0" applyFont="1" applyBorder="1" applyAlignment="1">
      <alignment horizontal="center" wrapText="1"/>
    </xf>
    <xf numFmtId="0" fontId="1" fillId="0" borderId="2" xfId="0" applyFont="1" applyBorder="1" applyAlignment="1">
      <alignment horizontal="center"/>
    </xf>
    <xf numFmtId="0" fontId="1" fillId="0" borderId="3" xfId="0" applyFont="1" applyBorder="1" applyAlignment="1">
      <alignment horizontal="center"/>
    </xf>
    <xf numFmtId="0" fontId="0" fillId="0" borderId="0" xfId="0" applyBorder="1" applyAlignment="1">
      <alignment horizontal="center" wrapText="1"/>
    </xf>
    <xf numFmtId="0" fontId="0" fillId="0" borderId="2" xfId="0" applyBorder="1" applyAlignment="1">
      <alignment horizontal="center"/>
    </xf>
    <xf numFmtId="0" fontId="0" fillId="0" borderId="3" xfId="0" applyBorder="1" applyAlignment="1">
      <alignment horizontal="center"/>
    </xf>
    <xf numFmtId="0" fontId="1" fillId="0" borderId="1" xfId="0" applyFont="1" applyBorder="1" applyAlignment="1">
      <alignment horizontal="center"/>
    </xf>
    <xf numFmtId="0" fontId="0" fillId="0" borderId="19" xfId="0" applyBorder="1" applyAlignment="1">
      <alignment horizontal="center" wrapText="1"/>
    </xf>
    <xf numFmtId="0" fontId="1" fillId="0" borderId="19"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'Red 1'!$F$2</c:f>
              <c:strCache>
                <c:ptCount val="1"/>
                <c:pt idx="0">
                  <c:v>y</c:v>
                </c:pt>
              </c:strCache>
            </c:strRef>
          </c:tx>
          <c:spPr>
            <a:ln w="28575" cap="rnd">
              <a:solidFill>
                <a:schemeClr val="accent1"/>
              </a:solidFill>
              <a:round/>
            </a:ln>
            <a:effectLst/>
          </c:spPr>
          <c:marker>
            <c:symbol val="none"/>
          </c:marker>
          <c:val>
            <c:numRef>
              <c:f>'Red 1'!$F$3:$F$201</c:f>
              <c:numCache>
                <c:formatCode>General</c:formatCode>
                <c:ptCount val="199"/>
                <c:pt idx="0">
                  <c:v>10.42884970993839</c:v>
                </c:pt>
                <c:pt idx="1">
                  <c:v>11.202465713123106</c:v>
                </c:pt>
                <c:pt idx="2">
                  <c:v>10.509382205659435</c:v>
                </c:pt>
                <c:pt idx="3">
                  <c:v>10.640281021508416</c:v>
                </c:pt>
                <c:pt idx="4">
                  <c:v>10.749309933972073</c:v>
                </c:pt>
                <c:pt idx="5">
                  <c:v>10.091982940219429</c:v>
                </c:pt>
                <c:pt idx="6">
                  <c:v>10.736479658181741</c:v>
                </c:pt>
                <c:pt idx="7">
                  <c:v>10.852860007164221</c:v>
                </c:pt>
                <c:pt idx="8">
                  <c:v>10.703035650595673</c:v>
                </c:pt>
                <c:pt idx="9">
                  <c:v>10.231615470778937</c:v>
                </c:pt>
                <c:pt idx="10">
                  <c:v>11.133034601582652</c:v>
                </c:pt>
                <c:pt idx="11">
                  <c:v>10.843986555724072</c:v>
                </c:pt>
                <c:pt idx="12">
                  <c:v>11.208847992872212</c:v>
                </c:pt>
                <c:pt idx="13">
                  <c:v>11.05042022385155</c:v>
                </c:pt>
                <c:pt idx="14">
                  <c:v>10.608596980183481</c:v>
                </c:pt>
                <c:pt idx="15">
                  <c:v>10.82537101156595</c:v>
                </c:pt>
                <c:pt idx="16">
                  <c:v>10.340425420493972</c:v>
                </c:pt>
                <c:pt idx="17">
                  <c:v>11.071053935873172</c:v>
                </c:pt>
                <c:pt idx="18">
                  <c:v>10.825639502104229</c:v>
                </c:pt>
                <c:pt idx="19">
                  <c:v>10.544409043011248</c:v>
                </c:pt>
                <c:pt idx="20">
                  <c:v>10.392525662744019</c:v>
                </c:pt>
                <c:pt idx="21">
                  <c:v>10.517720766073181</c:v>
                </c:pt>
                <c:pt idx="22">
                  <c:v>10.784624577228428</c:v>
                </c:pt>
                <c:pt idx="23">
                  <c:v>10.373053863414619</c:v>
                </c:pt>
                <c:pt idx="24">
                  <c:v>11.189658254982255</c:v>
                </c:pt>
                <c:pt idx="25">
                  <c:v>10.667500561269982</c:v>
                </c:pt>
                <c:pt idx="26">
                  <c:v>10.718345856118894</c:v>
                </c:pt>
                <c:pt idx="27">
                  <c:v>10.64116596112321</c:v>
                </c:pt>
                <c:pt idx="28">
                  <c:v>10.963893610493606</c:v>
                </c:pt>
                <c:pt idx="29">
                  <c:v>10.394989553430676</c:v>
                </c:pt>
                <c:pt idx="30">
                  <c:v>10.3808463265726</c:v>
                </c:pt>
                <c:pt idx="31">
                  <c:v>10.849079361743915</c:v>
                </c:pt>
                <c:pt idx="32">
                  <c:v>10.963158831326416</c:v>
                </c:pt>
                <c:pt idx="33">
                  <c:v>10.86398092548689</c:v>
                </c:pt>
                <c:pt idx="34">
                  <c:v>10.559717955574044</c:v>
                </c:pt>
                <c:pt idx="35">
                  <c:v>10.800609495777708</c:v>
                </c:pt>
                <c:pt idx="36">
                  <c:v>11.100437683999548</c:v>
                </c:pt>
                <c:pt idx="37">
                  <c:v>10.544164630168657</c:v>
                </c:pt>
                <c:pt idx="38">
                  <c:v>10.886566538297959</c:v>
                </c:pt>
                <c:pt idx="39">
                  <c:v>10.831120554544723</c:v>
                </c:pt>
                <c:pt idx="40">
                  <c:v>10.48100541813497</c:v>
                </c:pt>
                <c:pt idx="41">
                  <c:v>10.552106554747997</c:v>
                </c:pt>
                <c:pt idx="42">
                  <c:v>10.637738907516312</c:v>
                </c:pt>
                <c:pt idx="43">
                  <c:v>10.858122847243768</c:v>
                </c:pt>
                <c:pt idx="44">
                  <c:v>10.754278408026387</c:v>
                </c:pt>
                <c:pt idx="45">
                  <c:v>10.610837980298914</c:v>
                </c:pt>
                <c:pt idx="46">
                  <c:v>10.860770837330978</c:v>
                </c:pt>
                <c:pt idx="47">
                  <c:v>10.806877149804723</c:v>
                </c:pt>
                <c:pt idx="48">
                  <c:v>10.33608217215475</c:v>
                </c:pt>
                <c:pt idx="49">
                  <c:v>10.761377878693377</c:v>
                </c:pt>
                <c:pt idx="50">
                  <c:v>10.984821841407712</c:v>
                </c:pt>
                <c:pt idx="51">
                  <c:v>10.336258293122249</c:v>
                </c:pt>
                <c:pt idx="52">
                  <c:v>10.17997008097789</c:v>
                </c:pt>
                <c:pt idx="53">
                  <c:v>10.655782885958917</c:v>
                </c:pt>
                <c:pt idx="54">
                  <c:v>10.39245994917974</c:v>
                </c:pt>
                <c:pt idx="55">
                  <c:v>10.888607115500037</c:v>
                </c:pt>
                <c:pt idx="56">
                  <c:v>10.429652023536217</c:v>
                </c:pt>
                <c:pt idx="57">
                  <c:v>10.933374390603019</c:v>
                </c:pt>
                <c:pt idx="58">
                  <c:v>10.548625751528567</c:v>
                </c:pt>
                <c:pt idx="59">
                  <c:v>10.874275016219082</c:v>
                </c:pt>
                <c:pt idx="60">
                  <c:v>10.88548908493107</c:v>
                </c:pt>
                <c:pt idx="61">
                  <c:v>10.459371199794804</c:v>
                </c:pt>
                <c:pt idx="62">
                  <c:v>10.919225150720882</c:v>
                </c:pt>
                <c:pt idx="63">
                  <c:v>10.632131204069882</c:v>
                </c:pt>
                <c:pt idx="64">
                  <c:v>10.494653592952455</c:v>
                </c:pt>
                <c:pt idx="65">
                  <c:v>10.535947840736277</c:v>
                </c:pt>
                <c:pt idx="66">
                  <c:v>10.394908605521081</c:v>
                </c:pt>
                <c:pt idx="67">
                  <c:v>10.483926763125034</c:v>
                </c:pt>
                <c:pt idx="68">
                  <c:v>10.519194384352751</c:v>
                </c:pt>
                <c:pt idx="69">
                  <c:v>10.273423678427909</c:v>
                </c:pt>
                <c:pt idx="70">
                  <c:v>11.217244504647491</c:v>
                </c:pt>
                <c:pt idx="71">
                  <c:v>10.488871756359819</c:v>
                </c:pt>
                <c:pt idx="72">
                  <c:v>10.91966686023464</c:v>
                </c:pt>
                <c:pt idx="73">
                  <c:v>10.70302675086624</c:v>
                </c:pt>
                <c:pt idx="74">
                  <c:v>10.67580999413061</c:v>
                </c:pt>
                <c:pt idx="75">
                  <c:v>10.956452941349806</c:v>
                </c:pt>
                <c:pt idx="76">
                  <c:v>10.266489126324091</c:v>
                </c:pt>
                <c:pt idx="77">
                  <c:v>10.056979007532597</c:v>
                </c:pt>
                <c:pt idx="78">
                  <c:v>10.716851174594682</c:v>
                </c:pt>
                <c:pt idx="79">
                  <c:v>11.214546925836281</c:v>
                </c:pt>
                <c:pt idx="80">
                  <c:v>10.628069715634755</c:v>
                </c:pt>
                <c:pt idx="81">
                  <c:v>10.605858237602895</c:v>
                </c:pt>
                <c:pt idx="82">
                  <c:v>10.553657676203368</c:v>
                </c:pt>
                <c:pt idx="83">
                  <c:v>10.158993685118608</c:v>
                </c:pt>
                <c:pt idx="84">
                  <c:v>10.991897235813203</c:v>
                </c:pt>
                <c:pt idx="85">
                  <c:v>10.779364822759723</c:v>
                </c:pt>
                <c:pt idx="86">
                  <c:v>10.753334226322</c:v>
                </c:pt>
                <c:pt idx="87">
                  <c:v>10.625561338731455</c:v>
                </c:pt>
                <c:pt idx="88">
                  <c:v>10.593641752111617</c:v>
                </c:pt>
                <c:pt idx="89">
                  <c:v>10.578784018581677</c:v>
                </c:pt>
                <c:pt idx="90">
                  <c:v>10.168023980184106</c:v>
                </c:pt>
                <c:pt idx="91">
                  <c:v>11.236130545840419</c:v>
                </c:pt>
                <c:pt idx="92">
                  <c:v>10.531345577573248</c:v>
                </c:pt>
                <c:pt idx="93">
                  <c:v>10.35674623010406</c:v>
                </c:pt>
                <c:pt idx="94">
                  <c:v>11.216196264301278</c:v>
                </c:pt>
                <c:pt idx="95">
                  <c:v>10.514137414268491</c:v>
                </c:pt>
                <c:pt idx="96">
                  <c:v>11.034303971938662</c:v>
                </c:pt>
                <c:pt idx="97">
                  <c:v>10.360881648895022</c:v>
                </c:pt>
                <c:pt idx="98">
                  <c:v>10.699245485066045</c:v>
                </c:pt>
                <c:pt idx="99">
                  <c:v>10.777392157932143</c:v>
                </c:pt>
                <c:pt idx="100">
                  <c:v>10.36039009536306</c:v>
                </c:pt>
                <c:pt idx="101">
                  <c:v>11.16878235793958</c:v>
                </c:pt>
                <c:pt idx="102">
                  <c:v>10.141417139426439</c:v>
                </c:pt>
                <c:pt idx="103">
                  <c:v>10.772399180688192</c:v>
                </c:pt>
                <c:pt idx="104">
                  <c:v>10.57351915927207</c:v>
                </c:pt>
                <c:pt idx="105">
                  <c:v>10.814476476143566</c:v>
                </c:pt>
                <c:pt idx="106">
                  <c:v>11.170521723206173</c:v>
                </c:pt>
                <c:pt idx="107">
                  <c:v>10.26200267829959</c:v>
                </c:pt>
                <c:pt idx="108">
                  <c:v>10.814171134257636</c:v>
                </c:pt>
                <c:pt idx="109">
                  <c:v>10.501417967149225</c:v>
                </c:pt>
                <c:pt idx="110">
                  <c:v>10.279647837129321</c:v>
                </c:pt>
                <c:pt idx="111">
                  <c:v>10.854486018594612</c:v>
                </c:pt>
                <c:pt idx="112">
                  <c:v>10.702526397618628</c:v>
                </c:pt>
                <c:pt idx="113">
                  <c:v>10.35013356021275</c:v>
                </c:pt>
                <c:pt idx="114">
                  <c:v>10.160100557897948</c:v>
                </c:pt>
                <c:pt idx="115">
                  <c:v>10.119210270131813</c:v>
                </c:pt>
                <c:pt idx="116">
                  <c:v>10.405568066041541</c:v>
                </c:pt>
                <c:pt idx="117">
                  <c:v>11.247561632773905</c:v>
                </c:pt>
                <c:pt idx="118">
                  <c:v>10.381379390247726</c:v>
                </c:pt>
                <c:pt idx="119">
                  <c:v>10.856301401068983</c:v>
                </c:pt>
                <c:pt idx="120">
                  <c:v>10.460087266982661</c:v>
                </c:pt>
                <c:pt idx="121">
                  <c:v>10.388276645576539</c:v>
                </c:pt>
                <c:pt idx="122">
                  <c:v>10.59580789503471</c:v>
                </c:pt>
                <c:pt idx="123">
                  <c:v>10.847206103355852</c:v>
                </c:pt>
                <c:pt idx="124">
                  <c:v>10.900698187292731</c:v>
                </c:pt>
                <c:pt idx="125">
                  <c:v>10.4393445561553</c:v>
                </c:pt>
                <c:pt idx="126">
                  <c:v>10.505203812836291</c:v>
                </c:pt>
                <c:pt idx="127">
                  <c:v>11.076783604065765</c:v>
                </c:pt>
                <c:pt idx="128">
                  <c:v>10.449195456086366</c:v>
                </c:pt>
                <c:pt idx="129">
                  <c:v>10.818469838167033</c:v>
                </c:pt>
                <c:pt idx="130">
                  <c:v>10.472333846808288</c:v>
                </c:pt>
                <c:pt idx="131">
                  <c:v>10.421615985645985</c:v>
                </c:pt>
                <c:pt idx="132">
                  <c:v>10.489522827642455</c:v>
                </c:pt>
                <c:pt idx="133">
                  <c:v>10.579145553915332</c:v>
                </c:pt>
                <c:pt idx="134">
                  <c:v>10.378583148147873</c:v>
                </c:pt>
                <c:pt idx="135">
                  <c:v>10.479318931935337</c:v>
                </c:pt>
                <c:pt idx="136">
                  <c:v>10.732664991615914</c:v>
                </c:pt>
                <c:pt idx="137">
                  <c:v>10.818365072437041</c:v>
                </c:pt>
                <c:pt idx="138">
                  <c:v>10.765379870103459</c:v>
                </c:pt>
                <c:pt idx="139">
                  <c:v>10.749376089558412</c:v>
                </c:pt>
                <c:pt idx="140">
                  <c:v>10.874579123842668</c:v>
                </c:pt>
                <c:pt idx="141">
                  <c:v>10.830444764965366</c:v>
                </c:pt>
                <c:pt idx="142">
                  <c:v>10.960015744011356</c:v>
                </c:pt>
                <c:pt idx="143">
                  <c:v>10.491121120617654</c:v>
                </c:pt>
                <c:pt idx="144">
                  <c:v>10.972557814421657</c:v>
                </c:pt>
                <c:pt idx="145">
                  <c:v>10.464659422093813</c:v>
                </c:pt>
                <c:pt idx="146">
                  <c:v>10.728654005995194</c:v>
                </c:pt>
                <c:pt idx="147">
                  <c:v>10.380901064292431</c:v>
                </c:pt>
                <c:pt idx="148">
                  <c:v>10.689142513971648</c:v>
                </c:pt>
                <c:pt idx="149">
                  <c:v>10.46519662741821</c:v>
                </c:pt>
                <c:pt idx="150">
                  <c:v>10.816334370041931</c:v>
                </c:pt>
                <c:pt idx="151">
                  <c:v>10.421703247202108</c:v>
                </c:pt>
                <c:pt idx="152">
                  <c:v>10.848990705984402</c:v>
                </c:pt>
                <c:pt idx="153">
                  <c:v>10.93377628910152</c:v>
                </c:pt>
                <c:pt idx="154">
                  <c:v>10.782618115397202</c:v>
                </c:pt>
                <c:pt idx="155">
                  <c:v>10.777229468058078</c:v>
                </c:pt>
                <c:pt idx="156">
                  <c:v>10.813769394448332</c:v>
                </c:pt>
                <c:pt idx="157">
                  <c:v>11.046730428578465</c:v>
                </c:pt>
                <c:pt idx="158">
                  <c:v>10.361691007394603</c:v>
                </c:pt>
                <c:pt idx="159">
                  <c:v>10.231432133235465</c:v>
                </c:pt>
                <c:pt idx="160">
                  <c:v>11.13561233803089</c:v>
                </c:pt>
                <c:pt idx="161">
                  <c:v>10.600090533996203</c:v>
                </c:pt>
                <c:pt idx="162">
                  <c:v>10.850310739320138</c:v>
                </c:pt>
                <c:pt idx="163">
                  <c:v>10.873277924312569</c:v>
                </c:pt>
                <c:pt idx="164">
                  <c:v>10.708277139191622</c:v>
                </c:pt>
                <c:pt idx="165">
                  <c:v>10.272856321049378</c:v>
                </c:pt>
                <c:pt idx="166">
                  <c:v>10.50068309789869</c:v>
                </c:pt>
                <c:pt idx="167">
                  <c:v>10.775785336542148</c:v>
                </c:pt>
                <c:pt idx="168">
                  <c:v>10.191719562791961</c:v>
                </c:pt>
                <c:pt idx="169">
                  <c:v>10.759375751264233</c:v>
                </c:pt>
                <c:pt idx="170">
                  <c:v>10.902682932590535</c:v>
                </c:pt>
                <c:pt idx="171">
                  <c:v>10.995803296660638</c:v>
                </c:pt>
                <c:pt idx="172">
                  <c:v>10.246917281518529</c:v>
                </c:pt>
                <c:pt idx="173">
                  <c:v>10.151803749013542</c:v>
                </c:pt>
                <c:pt idx="174">
                  <c:v>10.195116121709615</c:v>
                </c:pt>
                <c:pt idx="175">
                  <c:v>11.167191622341651</c:v>
                </c:pt>
                <c:pt idx="176">
                  <c:v>10.196171435510253</c:v>
                </c:pt>
                <c:pt idx="177">
                  <c:v>10.860373204479261</c:v>
                </c:pt>
                <c:pt idx="178">
                  <c:v>10.87670810995262</c:v>
                </c:pt>
                <c:pt idx="179">
                  <c:v>11.126168839124007</c:v>
                </c:pt>
                <c:pt idx="180">
                  <c:v>10.709437811422333</c:v>
                </c:pt>
                <c:pt idx="181">
                  <c:v>10.587457550486661</c:v>
                </c:pt>
                <c:pt idx="182">
                  <c:v>10.572644652778145</c:v>
                </c:pt>
                <c:pt idx="183">
                  <c:v>10.668602080009284</c:v>
                </c:pt>
                <c:pt idx="184">
                  <c:v>10.997961323022407</c:v>
                </c:pt>
                <c:pt idx="185">
                  <c:v>10.28027672680385</c:v>
                </c:pt>
                <c:pt idx="186">
                  <c:v>10.999632802878333</c:v>
                </c:pt>
                <c:pt idx="187">
                  <c:v>11.023704252466743</c:v>
                </c:pt>
                <c:pt idx="188">
                  <c:v>10.552257023021717</c:v>
                </c:pt>
                <c:pt idx="189">
                  <c:v>10.768483676486111</c:v>
                </c:pt>
                <c:pt idx="190">
                  <c:v>10.964195588069122</c:v>
                </c:pt>
                <c:pt idx="191">
                  <c:v>10.171850432560657</c:v>
                </c:pt>
                <c:pt idx="192">
                  <c:v>10.872470187799649</c:v>
                </c:pt>
                <c:pt idx="193">
                  <c:v>10.764111874953233</c:v>
                </c:pt>
                <c:pt idx="194">
                  <c:v>10.264461444822098</c:v>
                </c:pt>
                <c:pt idx="195">
                  <c:v>10.808124361801202</c:v>
                </c:pt>
                <c:pt idx="196">
                  <c:v>10.609931354990662</c:v>
                </c:pt>
                <c:pt idx="197">
                  <c:v>10.674070730391035</c:v>
                </c:pt>
                <c:pt idx="198">
                  <c:v>10.129516541960861</c:v>
                </c:pt>
              </c:numCache>
            </c:numRef>
          </c:val>
          <c:smooth val="0"/>
          <c:extLst>
            <c:ext xmlns:c16="http://schemas.microsoft.com/office/drawing/2014/chart" uri="{C3380CC4-5D6E-409C-BE32-E72D297353CC}">
              <c16:uniqueId val="{00000000-F5CE-4E9A-8F1F-96358027F6D6}"/>
            </c:ext>
          </c:extLst>
        </c:ser>
        <c:ser>
          <c:idx val="1"/>
          <c:order val="1"/>
          <c:tx>
            <c:strRef>
              <c:f>'Red 1'!$L$2</c:f>
              <c:strCache>
                <c:ptCount val="1"/>
                <c:pt idx="0">
                  <c:v>salida</c:v>
                </c:pt>
              </c:strCache>
            </c:strRef>
          </c:tx>
          <c:spPr>
            <a:ln w="28575" cap="rnd">
              <a:solidFill>
                <a:schemeClr val="accent2"/>
              </a:solidFill>
              <a:round/>
            </a:ln>
            <a:effectLst/>
          </c:spPr>
          <c:marker>
            <c:symbol val="none"/>
          </c:marker>
          <c:val>
            <c:numRef>
              <c:f>'Red 1'!$L$3:$L$201</c:f>
              <c:numCache>
                <c:formatCode>General</c:formatCode>
                <c:ptCount val="199"/>
                <c:pt idx="0">
                  <c:v>10.522349004963225</c:v>
                </c:pt>
                <c:pt idx="1">
                  <c:v>11.044637499429919</c:v>
                </c:pt>
                <c:pt idx="2">
                  <c:v>10.577555643017114</c:v>
                </c:pt>
                <c:pt idx="3">
                  <c:v>10.659628433569917</c:v>
                </c:pt>
                <c:pt idx="4">
                  <c:v>10.738473588568855</c:v>
                </c:pt>
                <c:pt idx="5">
                  <c:v>10.280560035980226</c:v>
                </c:pt>
                <c:pt idx="6">
                  <c:v>10.729256223731703</c:v>
                </c:pt>
                <c:pt idx="7">
                  <c:v>10.813459787897717</c:v>
                </c:pt>
                <c:pt idx="8">
                  <c:v>10.709755007304587</c:v>
                </c:pt>
                <c:pt idx="9">
                  <c:v>10.38078118340907</c:v>
                </c:pt>
                <c:pt idx="10">
                  <c:v>11.001327660340946</c:v>
                </c:pt>
                <c:pt idx="11">
                  <c:v>10.803316536661715</c:v>
                </c:pt>
                <c:pt idx="12">
                  <c:v>11.051103316233899</c:v>
                </c:pt>
                <c:pt idx="13">
                  <c:v>10.949566741611768</c:v>
                </c:pt>
                <c:pt idx="14">
                  <c:v>10.644994760532272</c:v>
                </c:pt>
                <c:pt idx="15">
                  <c:v>10.800616576865808</c:v>
                </c:pt>
                <c:pt idx="16">
                  <c:v>10.453299757109866</c:v>
                </c:pt>
                <c:pt idx="17">
                  <c:v>10.960497113243711</c:v>
                </c:pt>
                <c:pt idx="18">
                  <c:v>10.778223487850312</c:v>
                </c:pt>
                <c:pt idx="19">
                  <c:v>10.582245337377634</c:v>
                </c:pt>
                <c:pt idx="20">
                  <c:v>10.476460683878004</c:v>
                </c:pt>
                <c:pt idx="21">
                  <c:v>10.56032322960905</c:v>
                </c:pt>
                <c:pt idx="22">
                  <c:v>10.767340363808138</c:v>
                </c:pt>
                <c:pt idx="23">
                  <c:v>10.47046423809674</c:v>
                </c:pt>
                <c:pt idx="24">
                  <c:v>11.036014611561118</c:v>
                </c:pt>
                <c:pt idx="25">
                  <c:v>10.680311566660832</c:v>
                </c:pt>
                <c:pt idx="26">
                  <c:v>10.718828598122517</c:v>
                </c:pt>
                <c:pt idx="27">
                  <c:v>10.674757673781594</c:v>
                </c:pt>
                <c:pt idx="28">
                  <c:v>10.884118545254868</c:v>
                </c:pt>
                <c:pt idx="29">
                  <c:v>10.484433263729031</c:v>
                </c:pt>
                <c:pt idx="30">
                  <c:v>10.485739077553117</c:v>
                </c:pt>
                <c:pt idx="31">
                  <c:v>10.810590669060606</c:v>
                </c:pt>
                <c:pt idx="32">
                  <c:v>10.87539743768497</c:v>
                </c:pt>
                <c:pt idx="33">
                  <c:v>10.805820379900544</c:v>
                </c:pt>
                <c:pt idx="34">
                  <c:v>10.603980685622926</c:v>
                </c:pt>
                <c:pt idx="35">
                  <c:v>10.77658954094454</c:v>
                </c:pt>
                <c:pt idx="36">
                  <c:v>10.983371522534931</c:v>
                </c:pt>
                <c:pt idx="37">
                  <c:v>10.597678895295243</c:v>
                </c:pt>
                <c:pt idx="38">
                  <c:v>10.819873273732844</c:v>
                </c:pt>
                <c:pt idx="39">
                  <c:v>10.803496442647241</c:v>
                </c:pt>
                <c:pt idx="40">
                  <c:v>10.537550947110777</c:v>
                </c:pt>
                <c:pt idx="41">
                  <c:v>10.598150145131127</c:v>
                </c:pt>
                <c:pt idx="42">
                  <c:v>10.659260619696939</c:v>
                </c:pt>
                <c:pt idx="43">
                  <c:v>10.806040235102449</c:v>
                </c:pt>
                <c:pt idx="44">
                  <c:v>10.74020513498434</c:v>
                </c:pt>
                <c:pt idx="45">
                  <c:v>10.625920682284461</c:v>
                </c:pt>
                <c:pt idx="46">
                  <c:v>10.815984251447444</c:v>
                </c:pt>
                <c:pt idx="47">
                  <c:v>10.768021818861625</c:v>
                </c:pt>
                <c:pt idx="48">
                  <c:v>10.446294585897599</c:v>
                </c:pt>
                <c:pt idx="49">
                  <c:v>10.742789105701828</c:v>
                </c:pt>
                <c:pt idx="50">
                  <c:v>10.900605807512347</c:v>
                </c:pt>
                <c:pt idx="51">
                  <c:v>10.454411392089424</c:v>
                </c:pt>
                <c:pt idx="52">
                  <c:v>10.342512750640212</c:v>
                </c:pt>
                <c:pt idx="53">
                  <c:v>10.661645334517321</c:v>
                </c:pt>
                <c:pt idx="54">
                  <c:v>10.484805945451887</c:v>
                </c:pt>
                <c:pt idx="55">
                  <c:v>10.841723658621715</c:v>
                </c:pt>
                <c:pt idx="56">
                  <c:v>10.514179059627329</c:v>
                </c:pt>
                <c:pt idx="57">
                  <c:v>10.855739707653591</c:v>
                </c:pt>
                <c:pt idx="58">
                  <c:v>10.600444849468341</c:v>
                </c:pt>
                <c:pt idx="59">
                  <c:v>10.825884087421441</c:v>
                </c:pt>
                <c:pt idx="60">
                  <c:v>10.831587544534935</c:v>
                </c:pt>
                <c:pt idx="61">
                  <c:v>10.537367748198932</c:v>
                </c:pt>
                <c:pt idx="62">
                  <c:v>10.854212798992217</c:v>
                </c:pt>
                <c:pt idx="63">
                  <c:v>10.645476889762403</c:v>
                </c:pt>
                <c:pt idx="64">
                  <c:v>10.564926148491915</c:v>
                </c:pt>
                <c:pt idx="65">
                  <c:v>10.599024218123178</c:v>
                </c:pt>
                <c:pt idx="66">
                  <c:v>10.478586188448554</c:v>
                </c:pt>
                <c:pt idx="67">
                  <c:v>10.550278498906264</c:v>
                </c:pt>
                <c:pt idx="68">
                  <c:v>10.5614960403735</c:v>
                </c:pt>
                <c:pt idx="69">
                  <c:v>10.409495261080407</c:v>
                </c:pt>
                <c:pt idx="70">
                  <c:v>11.059158257242078</c:v>
                </c:pt>
                <c:pt idx="71">
                  <c:v>10.543957156179879</c:v>
                </c:pt>
                <c:pt idx="72">
                  <c:v>10.849493142636348</c:v>
                </c:pt>
                <c:pt idx="73">
                  <c:v>10.699915285198498</c:v>
                </c:pt>
                <c:pt idx="74">
                  <c:v>10.69262406616936</c:v>
                </c:pt>
                <c:pt idx="75">
                  <c:v>10.884255433356111</c:v>
                </c:pt>
                <c:pt idx="76">
                  <c:v>10.395631387326882</c:v>
                </c:pt>
                <c:pt idx="77">
                  <c:v>10.256896505156952</c:v>
                </c:pt>
                <c:pt idx="78">
                  <c:v>10.699136223210219</c:v>
                </c:pt>
                <c:pt idx="79">
                  <c:v>11.052680977272235</c:v>
                </c:pt>
                <c:pt idx="80">
                  <c:v>10.665411799519601</c:v>
                </c:pt>
                <c:pt idx="81">
                  <c:v>10.620619496405549</c:v>
                </c:pt>
                <c:pt idx="82">
                  <c:v>10.606176048960139</c:v>
                </c:pt>
                <c:pt idx="83">
                  <c:v>10.324355289011972</c:v>
                </c:pt>
                <c:pt idx="84">
                  <c:v>10.90641735409333</c:v>
                </c:pt>
                <c:pt idx="85">
                  <c:v>10.752535458188531</c:v>
                </c:pt>
                <c:pt idx="86">
                  <c:v>10.739204120582045</c:v>
                </c:pt>
                <c:pt idx="87">
                  <c:v>10.649941763602097</c:v>
                </c:pt>
                <c:pt idx="88">
                  <c:v>10.619822734563142</c:v>
                </c:pt>
                <c:pt idx="89">
                  <c:v>10.617305813328798</c:v>
                </c:pt>
                <c:pt idx="90">
                  <c:v>10.331714071098869</c:v>
                </c:pt>
                <c:pt idx="91">
                  <c:v>11.070272341961577</c:v>
                </c:pt>
                <c:pt idx="92">
                  <c:v>10.590030266010453</c:v>
                </c:pt>
                <c:pt idx="93">
                  <c:v>10.468115242271667</c:v>
                </c:pt>
                <c:pt idx="94">
                  <c:v>11.054708022833509</c:v>
                </c:pt>
                <c:pt idx="95">
                  <c:v>10.580054726102038</c:v>
                </c:pt>
                <c:pt idx="96">
                  <c:v>10.931564736240405</c:v>
                </c:pt>
                <c:pt idx="97">
                  <c:v>10.468820737264553</c:v>
                </c:pt>
                <c:pt idx="98">
                  <c:v>10.712254741481466</c:v>
                </c:pt>
                <c:pt idx="99">
                  <c:v>10.763212767759164</c:v>
                </c:pt>
                <c:pt idx="100">
                  <c:v>10.462978812796077</c:v>
                </c:pt>
                <c:pt idx="101">
                  <c:v>11.022709499229222</c:v>
                </c:pt>
                <c:pt idx="102">
                  <c:v>10.316557192066341</c:v>
                </c:pt>
                <c:pt idx="103">
                  <c:v>10.757172159380762</c:v>
                </c:pt>
                <c:pt idx="104">
                  <c:v>10.603054374322838</c:v>
                </c:pt>
                <c:pt idx="105">
                  <c:v>10.770010946390778</c:v>
                </c:pt>
                <c:pt idx="106">
                  <c:v>11.026735851929404</c:v>
                </c:pt>
                <c:pt idx="107">
                  <c:v>10.395106219088424</c:v>
                </c:pt>
                <c:pt idx="108">
                  <c:v>10.782834837711915</c:v>
                </c:pt>
                <c:pt idx="109">
                  <c:v>10.574178744988039</c:v>
                </c:pt>
                <c:pt idx="110">
                  <c:v>10.412721472256921</c:v>
                </c:pt>
                <c:pt idx="111">
                  <c:v>10.798918476120415</c:v>
                </c:pt>
                <c:pt idx="112">
                  <c:v>10.716869662846946</c:v>
                </c:pt>
                <c:pt idx="113">
                  <c:v>10.450600885497561</c:v>
                </c:pt>
                <c:pt idx="114">
                  <c:v>10.329547606055646</c:v>
                </c:pt>
                <c:pt idx="115">
                  <c:v>10.30062433227123</c:v>
                </c:pt>
                <c:pt idx="116">
                  <c:v>10.506401364522373</c:v>
                </c:pt>
                <c:pt idx="117">
                  <c:v>11.077696776758355</c:v>
                </c:pt>
                <c:pt idx="118">
                  <c:v>10.475082129638686</c:v>
                </c:pt>
                <c:pt idx="119">
                  <c:v>10.820486813267472</c:v>
                </c:pt>
                <c:pt idx="120">
                  <c:v>10.527263751105723</c:v>
                </c:pt>
                <c:pt idx="121">
                  <c:v>10.484325388181489</c:v>
                </c:pt>
                <c:pt idx="122">
                  <c:v>10.626633190695062</c:v>
                </c:pt>
                <c:pt idx="123">
                  <c:v>10.800190839881697</c:v>
                </c:pt>
                <c:pt idx="124">
                  <c:v>10.852235354465138</c:v>
                </c:pt>
                <c:pt idx="125">
                  <c:v>10.512668430892919</c:v>
                </c:pt>
                <c:pt idx="126">
                  <c:v>10.564065153031127</c:v>
                </c:pt>
                <c:pt idx="127">
                  <c:v>10.965370271558349</c:v>
                </c:pt>
                <c:pt idx="128">
                  <c:v>10.512455998697215</c:v>
                </c:pt>
                <c:pt idx="129">
                  <c:v>10.787251465243557</c:v>
                </c:pt>
                <c:pt idx="130">
                  <c:v>10.545028223130485</c:v>
                </c:pt>
                <c:pt idx="131">
                  <c:v>10.506455515565495</c:v>
                </c:pt>
                <c:pt idx="132">
                  <c:v>10.558775837917565</c:v>
                </c:pt>
                <c:pt idx="133">
                  <c:v>10.607739231969832</c:v>
                </c:pt>
                <c:pt idx="134">
                  <c:v>10.47849352610638</c:v>
                </c:pt>
                <c:pt idx="135">
                  <c:v>10.543438445046712</c:v>
                </c:pt>
                <c:pt idx="136">
                  <c:v>10.734967335343997</c:v>
                </c:pt>
                <c:pt idx="137">
                  <c:v>10.798560304645441</c:v>
                </c:pt>
                <c:pt idx="138">
                  <c:v>10.741227528318175</c:v>
                </c:pt>
                <c:pt idx="139">
                  <c:v>10.729845558841115</c:v>
                </c:pt>
                <c:pt idx="140">
                  <c:v>10.83520593502849</c:v>
                </c:pt>
                <c:pt idx="141">
                  <c:v>10.791780978038634</c:v>
                </c:pt>
                <c:pt idx="142">
                  <c:v>10.888002450052635</c:v>
                </c:pt>
                <c:pt idx="143">
                  <c:v>10.556814909674845</c:v>
                </c:pt>
                <c:pt idx="144">
                  <c:v>10.898207025949802</c:v>
                </c:pt>
                <c:pt idx="145">
                  <c:v>10.542578659807466</c:v>
                </c:pt>
                <c:pt idx="146">
                  <c:v>10.717553190641782</c:v>
                </c:pt>
                <c:pt idx="147">
                  <c:v>10.486405882498776</c:v>
                </c:pt>
                <c:pt idx="148">
                  <c:v>10.70233322390183</c:v>
                </c:pt>
                <c:pt idx="149">
                  <c:v>10.52459061213389</c:v>
                </c:pt>
                <c:pt idx="150">
                  <c:v>10.791157513314261</c:v>
                </c:pt>
                <c:pt idx="151">
                  <c:v>10.512865711188791</c:v>
                </c:pt>
                <c:pt idx="152">
                  <c:v>10.80582252158595</c:v>
                </c:pt>
                <c:pt idx="153">
                  <c:v>10.863223871054599</c:v>
                </c:pt>
                <c:pt idx="154">
                  <c:v>10.752844481009012</c:v>
                </c:pt>
                <c:pt idx="155">
                  <c:v>10.770510637470572</c:v>
                </c:pt>
                <c:pt idx="156">
                  <c:v>10.76946577698912</c:v>
                </c:pt>
                <c:pt idx="157">
                  <c:v>10.938198994166139</c:v>
                </c:pt>
                <c:pt idx="158">
                  <c:v>10.476159722331776</c:v>
                </c:pt>
                <c:pt idx="159">
                  <c:v>10.377092815005865</c:v>
                </c:pt>
                <c:pt idx="160">
                  <c:v>11.00021950470936</c:v>
                </c:pt>
                <c:pt idx="161">
                  <c:v>10.628979908529621</c:v>
                </c:pt>
                <c:pt idx="162">
                  <c:v>10.801205843217685</c:v>
                </c:pt>
                <c:pt idx="163">
                  <c:v>10.822208466636221</c:v>
                </c:pt>
                <c:pt idx="164">
                  <c:v>10.696616513430563</c:v>
                </c:pt>
                <c:pt idx="165">
                  <c:v>10.413308492894593</c:v>
                </c:pt>
                <c:pt idx="166">
                  <c:v>10.548831809165646</c:v>
                </c:pt>
                <c:pt idx="167">
                  <c:v>10.755698726197323</c:v>
                </c:pt>
                <c:pt idx="168">
                  <c:v>10.355267327739238</c:v>
                </c:pt>
                <c:pt idx="169">
                  <c:v>10.752772744392413</c:v>
                </c:pt>
                <c:pt idx="170">
                  <c:v>10.83836124628378</c:v>
                </c:pt>
                <c:pt idx="171">
                  <c:v>10.901882919577281</c:v>
                </c:pt>
                <c:pt idx="172">
                  <c:v>10.38688942498095</c:v>
                </c:pt>
                <c:pt idx="173">
                  <c:v>10.323973403578435</c:v>
                </c:pt>
                <c:pt idx="174">
                  <c:v>10.353617609773742</c:v>
                </c:pt>
                <c:pt idx="175">
                  <c:v>11.019314643784726</c:v>
                </c:pt>
                <c:pt idx="176">
                  <c:v>10.354793037449125</c:v>
                </c:pt>
                <c:pt idx="177">
                  <c:v>10.80269068847176</c:v>
                </c:pt>
                <c:pt idx="178">
                  <c:v>10.825724610245167</c:v>
                </c:pt>
                <c:pt idx="179">
                  <c:v>10.999603807863485</c:v>
                </c:pt>
                <c:pt idx="180">
                  <c:v>10.719243022836322</c:v>
                </c:pt>
                <c:pt idx="181">
                  <c:v>10.629983220664597</c:v>
                </c:pt>
                <c:pt idx="182">
                  <c:v>10.597217774901344</c:v>
                </c:pt>
                <c:pt idx="183">
                  <c:v>10.676321858961598</c:v>
                </c:pt>
                <c:pt idx="184">
                  <c:v>10.903957354571736</c:v>
                </c:pt>
                <c:pt idx="185">
                  <c:v>10.402850084668636</c:v>
                </c:pt>
                <c:pt idx="186">
                  <c:v>10.912235428159702</c:v>
                </c:pt>
                <c:pt idx="187">
                  <c:v>10.924923651249133</c:v>
                </c:pt>
                <c:pt idx="188">
                  <c:v>10.58476533138084</c:v>
                </c:pt>
                <c:pt idx="189">
                  <c:v>10.752160471138108</c:v>
                </c:pt>
                <c:pt idx="190">
                  <c:v>10.890480941914047</c:v>
                </c:pt>
                <c:pt idx="191">
                  <c:v>10.34066571136168</c:v>
                </c:pt>
                <c:pt idx="192">
                  <c:v>10.821917972877095</c:v>
                </c:pt>
                <c:pt idx="193">
                  <c:v>10.738810674655102</c:v>
                </c:pt>
                <c:pt idx="194">
                  <c:v>10.403055062951848</c:v>
                </c:pt>
                <c:pt idx="195">
                  <c:v>10.76911725628055</c:v>
                </c:pt>
                <c:pt idx="196">
                  <c:v>10.640947403440721</c:v>
                </c:pt>
                <c:pt idx="197">
                  <c:v>10.696831920776081</c:v>
                </c:pt>
                <c:pt idx="198">
                  <c:v>10.308419335284798</c:v>
                </c:pt>
              </c:numCache>
            </c:numRef>
          </c:val>
          <c:smooth val="0"/>
          <c:extLst>
            <c:ext xmlns:c16="http://schemas.microsoft.com/office/drawing/2014/chart" uri="{C3380CC4-5D6E-409C-BE32-E72D297353CC}">
              <c16:uniqueId val="{00000001-F5CE-4E9A-8F1F-96358027F6D6}"/>
            </c:ext>
          </c:extLst>
        </c:ser>
        <c:dLbls>
          <c:showLegendKey val="0"/>
          <c:showVal val="0"/>
          <c:showCatName val="0"/>
          <c:showSerName val="0"/>
          <c:showPercent val="0"/>
          <c:showBubbleSize val="0"/>
        </c:dLbls>
        <c:smooth val="0"/>
        <c:axId val="1857198767"/>
        <c:axId val="1502157935"/>
      </c:lineChart>
      <c:catAx>
        <c:axId val="185719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502157935"/>
        <c:crosses val="autoZero"/>
        <c:auto val="1"/>
        <c:lblAlgn val="ctr"/>
        <c:lblOffset val="100"/>
        <c:noMultiLvlLbl val="0"/>
      </c:catAx>
      <c:valAx>
        <c:axId val="1502157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57198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121920</xdr:colOff>
          <xdr:row>20</xdr:row>
          <xdr:rowOff>83820</xdr:rowOff>
        </xdr:from>
        <xdr:to>
          <xdr:col>22</xdr:col>
          <xdr:colOff>1722120</xdr:colOff>
          <xdr:row>22</xdr:row>
          <xdr:rowOff>152400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CO" sz="1600" b="1" i="0" u="none" strike="noStrike" baseline="0">
                  <a:solidFill>
                    <a:srgbClr val="000000"/>
                  </a:solidFill>
                  <a:latin typeface="Calibri"/>
                  <a:cs typeface="Calibri"/>
                </a:rPr>
                <a:t>ejecutar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3</xdr:row>
          <xdr:rowOff>38100</xdr:rowOff>
        </xdr:from>
        <xdr:to>
          <xdr:col>10</xdr:col>
          <xdr:colOff>106680</xdr:colOff>
          <xdr:row>7</xdr:row>
          <xdr:rowOff>7620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400" b="1" i="0" u="none" strike="noStrike" baseline="0">
                  <a:solidFill>
                    <a:srgbClr val="000000"/>
                  </a:solidFill>
                  <a:latin typeface="Calibri"/>
                  <a:cs typeface="Calibri"/>
                </a:rPr>
                <a:t>ejecutar</a:t>
              </a:r>
            </a:p>
          </xdr:txBody>
        </xdr:sp>
        <xdr:clientData fPrintsWithSheet="0"/>
      </xdr:twoCellAnchor>
    </mc:Choice>
    <mc:Fallback/>
  </mc:AlternateContent>
  <xdr:twoCellAnchor>
    <xdr:from>
      <xdr:col>0</xdr:col>
      <xdr:colOff>621324</xdr:colOff>
      <xdr:row>0</xdr:row>
      <xdr:rowOff>158262</xdr:rowOff>
    </xdr:from>
    <xdr:to>
      <xdr:col>12</xdr:col>
      <xdr:colOff>126024</xdr:colOff>
      <xdr:row>17</xdr:row>
      <xdr:rowOff>105508</xdr:rowOff>
    </xdr:to>
    <xdr:graphicFrame macro="">
      <xdr:nvGraphicFramePr>
        <xdr:cNvPr id="5" name="Gráfico 4">
          <a:extLst>
            <a:ext uri="{FF2B5EF4-FFF2-40B4-BE49-F238E27FC236}">
              <a16:creationId xmlns:a16="http://schemas.microsoft.com/office/drawing/2014/main" id="{33E8EFA1-5C3E-452F-A248-0A17051FC3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FBB8D-ADFF-4F90-80DB-4BA52083A0F2}">
  <sheetPr codeName="Hoja1"/>
  <dimension ref="B1:BF208"/>
  <sheetViews>
    <sheetView showGridLines="0" tabSelected="1" topLeftCell="C4" zoomScale="85" zoomScaleNormal="85" workbookViewId="0">
      <selection activeCell="O4" sqref="O4"/>
    </sheetView>
  </sheetViews>
  <sheetFormatPr baseColWidth="10" defaultRowHeight="14.4" x14ac:dyDescent="0.3"/>
  <cols>
    <col min="1" max="1" width="11.44140625" customWidth="1"/>
    <col min="2" max="3" width="16.109375" customWidth="1"/>
    <col min="4" max="4" width="7.44140625" customWidth="1"/>
    <col min="5" max="5" width="13.5546875" bestFit="1" customWidth="1"/>
    <col min="6" max="6" width="4.33203125" style="4" customWidth="1"/>
    <col min="7" max="7" width="12.33203125" customWidth="1"/>
    <col min="8" max="8" width="4.109375" customWidth="1"/>
    <col min="10" max="10" width="7" customWidth="1"/>
    <col min="11" max="11" width="13.6640625" customWidth="1"/>
    <col min="12" max="12" width="4.109375" customWidth="1"/>
    <col min="17" max="17" width="3.5546875" customWidth="1"/>
    <col min="20" max="20" width="10.5546875" customWidth="1"/>
    <col min="22" max="22" width="4.6640625" customWidth="1"/>
    <col min="23" max="23" width="30.88671875" bestFit="1" customWidth="1"/>
    <col min="24" max="24" width="3" customWidth="1"/>
    <col min="25" max="25" width="12.44140625" bestFit="1" customWidth="1"/>
    <col min="26" max="26" width="18.33203125" bestFit="1" customWidth="1"/>
    <col min="46" max="46" width="14.44140625" customWidth="1"/>
    <col min="53" max="53" width="23.6640625" customWidth="1"/>
    <col min="54" max="54" width="15.6640625" customWidth="1"/>
  </cols>
  <sheetData>
    <row r="1" spans="2:58" ht="15" thickBot="1" x14ac:dyDescent="0.35">
      <c r="F1"/>
    </row>
    <row r="2" spans="2:58" ht="15.75" customHeight="1" thickBot="1" x14ac:dyDescent="0.35">
      <c r="B2" s="30" t="s">
        <v>19</v>
      </c>
      <c r="C2" s="31"/>
      <c r="D2" s="3"/>
      <c r="E2" s="35" t="s">
        <v>25</v>
      </c>
      <c r="F2" s="36"/>
      <c r="G2" s="36"/>
      <c r="H2" s="36"/>
      <c r="I2" s="37"/>
      <c r="K2" s="27" t="s">
        <v>22</v>
      </c>
      <c r="L2" s="28"/>
      <c r="M2" s="28"/>
      <c r="N2" s="28"/>
      <c r="O2" s="28"/>
      <c r="P2" s="28"/>
      <c r="Q2" s="28"/>
      <c r="R2" s="28"/>
      <c r="S2" s="28"/>
      <c r="T2" s="28"/>
      <c r="U2" s="29"/>
      <c r="W2" s="27" t="s">
        <v>24</v>
      </c>
      <c r="X2" s="28"/>
      <c r="Y2" s="28"/>
      <c r="Z2" s="29"/>
    </row>
    <row r="3" spans="2:58" ht="16.5" customHeight="1" thickBot="1" x14ac:dyDescent="0.35">
      <c r="B3" s="32"/>
      <c r="C3" s="33"/>
      <c r="D3" s="3"/>
      <c r="E3" s="38"/>
      <c r="F3" s="39"/>
      <c r="G3" s="39"/>
      <c r="H3" s="39"/>
      <c r="I3" s="40"/>
      <c r="K3" s="9" t="s">
        <v>23</v>
      </c>
      <c r="L3" s="6"/>
      <c r="M3" s="44" t="s">
        <v>32</v>
      </c>
      <c r="N3" s="44"/>
      <c r="O3" s="44"/>
      <c r="P3" s="44"/>
      <c r="R3" s="51" t="s">
        <v>36</v>
      </c>
      <c r="S3" s="52"/>
      <c r="T3" s="52"/>
      <c r="U3" s="53"/>
      <c r="W3" s="7" t="s">
        <v>8</v>
      </c>
      <c r="X3" s="7"/>
      <c r="Y3" s="8" t="s">
        <v>9</v>
      </c>
      <c r="Z3" s="8" t="s">
        <v>31</v>
      </c>
      <c r="AD3" s="41" t="s">
        <v>35</v>
      </c>
      <c r="AE3" s="42"/>
      <c r="AF3" s="42"/>
      <c r="AG3" s="42"/>
      <c r="AH3" s="42"/>
      <c r="AI3" s="42"/>
      <c r="AJ3" s="42"/>
      <c r="AK3" s="42"/>
      <c r="AL3" s="42"/>
      <c r="AM3" s="42"/>
      <c r="AN3" s="42"/>
      <c r="AO3" s="42"/>
      <c r="AP3" s="43"/>
      <c r="AQ3" s="14"/>
    </row>
    <row r="4" spans="2:58" x14ac:dyDescent="0.3">
      <c r="B4" s="8" t="s">
        <v>20</v>
      </c>
      <c r="C4" s="8" t="s">
        <v>21</v>
      </c>
      <c r="D4" s="4"/>
      <c r="E4" s="8" t="s">
        <v>8</v>
      </c>
      <c r="F4" s="10"/>
      <c r="G4" s="8" t="s">
        <v>0</v>
      </c>
      <c r="H4" s="10"/>
      <c r="I4" s="8" t="s">
        <v>4</v>
      </c>
      <c r="K4" s="5" t="s">
        <v>65</v>
      </c>
      <c r="M4" s="5" t="s">
        <v>15</v>
      </c>
      <c r="N4" s="5" t="s">
        <v>16</v>
      </c>
      <c r="O4" s="5" t="s">
        <v>17</v>
      </c>
      <c r="P4" s="5" t="s">
        <v>18</v>
      </c>
      <c r="R4" s="5" t="s">
        <v>15</v>
      </c>
      <c r="S4" s="5" t="s">
        <v>16</v>
      </c>
      <c r="T4" s="5" t="s">
        <v>17</v>
      </c>
      <c r="U4" s="5" t="s">
        <v>18</v>
      </c>
      <c r="W4" s="5" t="s">
        <v>69</v>
      </c>
      <c r="Y4" s="5" t="s">
        <v>33</v>
      </c>
      <c r="Z4" s="5" t="s">
        <v>58</v>
      </c>
      <c r="AB4" s="12" t="s">
        <v>34</v>
      </c>
      <c r="AD4" s="13" t="s">
        <v>39</v>
      </c>
      <c r="AE4" s="13" t="s">
        <v>40</v>
      </c>
      <c r="AF4" s="13" t="s">
        <v>41</v>
      </c>
      <c r="AG4" s="13" t="s">
        <v>42</v>
      </c>
      <c r="AH4" s="13" t="s">
        <v>44</v>
      </c>
      <c r="AI4" s="13" t="s">
        <v>43</v>
      </c>
      <c r="AJ4" s="13" t="s">
        <v>45</v>
      </c>
      <c r="AK4" s="13" t="s">
        <v>46</v>
      </c>
      <c r="AL4" s="13" t="s">
        <v>47</v>
      </c>
      <c r="AM4" s="13" t="s">
        <v>48</v>
      </c>
      <c r="AN4" s="13" t="s">
        <v>49</v>
      </c>
      <c r="AO4" s="13" t="s">
        <v>50</v>
      </c>
      <c r="AP4" s="13" t="s">
        <v>51</v>
      </c>
      <c r="AT4" s="54" t="s">
        <v>37</v>
      </c>
      <c r="AU4" s="55"/>
      <c r="AV4" s="4"/>
      <c r="AW4" s="4"/>
      <c r="AX4" s="4"/>
      <c r="AY4" s="4"/>
      <c r="AZ4" s="4"/>
      <c r="BA4" s="4"/>
      <c r="BB4" s="4"/>
      <c r="BC4" s="4"/>
      <c r="BD4" s="4"/>
    </row>
    <row r="5" spans="2:58" x14ac:dyDescent="0.3">
      <c r="B5" s="1">
        <v>0.77463199666024973</v>
      </c>
      <c r="C5" s="1"/>
      <c r="D5" s="4"/>
      <c r="E5" s="1" t="s">
        <v>8</v>
      </c>
      <c r="G5" s="5" t="s">
        <v>64</v>
      </c>
      <c r="H5" s="10"/>
      <c r="I5" s="1">
        <f>+B5*B5*$G$10+$G$8</f>
        <v>5.1800164190749536</v>
      </c>
      <c r="K5" s="5" t="s">
        <v>26</v>
      </c>
      <c r="M5" s="1">
        <f t="shared" ref="M5:M68" si="0">+$K$7+$K$9*B5</f>
        <v>0.63666757905443272</v>
      </c>
      <c r="N5" s="1">
        <f t="shared" ref="N5:N68" si="1">+$K$15+$K$17*B5</f>
        <v>1.4299174997601203</v>
      </c>
      <c r="O5" s="1">
        <f t="shared" ref="O5:O68" si="2">+$K$23+$K$25*B5</f>
        <v>1.0145208849667897</v>
      </c>
      <c r="P5" s="1">
        <f t="shared" ref="P5:P68" si="3">+$K$31+$K$33*B5</f>
        <v>1.214767173026726</v>
      </c>
      <c r="R5" s="21">
        <f>+IF(M5&gt;=0,M5,0)</f>
        <v>0.63666757905443272</v>
      </c>
      <c r="S5" s="21">
        <f>+IF(N5&gt;=0,N5,0)</f>
        <v>1.4299174997601203</v>
      </c>
      <c r="T5" s="21">
        <f>+IF(O5&gt;=0,O5,0)</f>
        <v>1.0145208849667897</v>
      </c>
      <c r="U5" s="21">
        <f>+IF(P5&gt;=0,P5,0)</f>
        <v>1.214767173026726</v>
      </c>
      <c r="W5" s="5" t="s">
        <v>38</v>
      </c>
      <c r="Y5" s="21">
        <f>+$W$7+$W$9*M5+$W$11*N5+$W$13*O5+P5*$W$15</f>
        <v>5.1861052040632147</v>
      </c>
      <c r="Z5" s="21">
        <f>+IF(Y5&gt;=0,Y5,0)</f>
        <v>5.1861052040632147</v>
      </c>
      <c r="AB5" s="21">
        <f t="shared" ref="AB5:AB68" si="4">+I5-Z5</f>
        <v>-6.0887849882611533E-3</v>
      </c>
      <c r="AD5" s="1">
        <f>+(2/$AT$5)*(-1)*($AB5)*$W$9</f>
        <v>6.3876359365346749E-5</v>
      </c>
      <c r="AE5" s="1">
        <f t="shared" ref="AE5:AE68" si="5">+(2/$AT$5)*(-1)*($AB5)*($W$9)*($B5)</f>
        <v>4.9480671794566191E-5</v>
      </c>
      <c r="AF5" s="1">
        <f>+(2/$AT$5)*(-1)*($AB5)*$W$11</f>
        <v>4.508136083145081E-5</v>
      </c>
      <c r="AG5" s="1">
        <f t="shared" ref="AG5:AG68" si="6">+(2/$AT$5)*(-1)*($AB5)*($W$11)*($B5)</f>
        <v>3.4921464553027915E-5</v>
      </c>
      <c r="AH5" s="1">
        <f>+(2/$AT$5)*(-1)*($AB5)*$W$13</f>
        <v>7.7812326796175657E-5</v>
      </c>
      <c r="AI5" s="1">
        <f t="shared" ref="AI5:AI68" si="7">+(2/$AT$5)*(-1)*($AB5)*($W$13)*($B5)</f>
        <v>6.02759180709014E-5</v>
      </c>
      <c r="AJ5" s="1">
        <f>+(2/$AT$5)*(-1)*($AB5)*$W$15</f>
        <v>4.9288512908046513E-5</v>
      </c>
      <c r="AK5" s="1">
        <f t="shared" ref="AK5:AK68" si="8">+(2/$AT$5)*(-1)*($AB5)*($W$15)*($B5)</f>
        <v>3.8180459166374563E-5</v>
      </c>
      <c r="AL5" s="1">
        <f>+(2/$AT$5)*(-1)*($AB5)</f>
        <v>5.9693970473148558E-5</v>
      </c>
      <c r="AM5" s="1">
        <f>+(2/$AT$5)*(-1)*($AB5)*R5</f>
        <v>3.8005215665286281E-5</v>
      </c>
      <c r="AN5" s="1">
        <f>+(2/$AT$5)*(-1)*($AB5)*S5</f>
        <v>8.5357453009719027E-5</v>
      </c>
      <c r="AO5" s="1">
        <f>+(2/$AT$5)*(-1)*($AB5)*T5</f>
        <v>6.056077975160009E-5</v>
      </c>
      <c r="AP5" s="1">
        <f>+(2/$AT$5)*(-1)*($AB5)*U5</f>
        <v>7.2514275758407527E-5</v>
      </c>
      <c r="AT5" s="57">
        <f>+COUNT(B5:B208)</f>
        <v>204</v>
      </c>
      <c r="AU5" s="58"/>
      <c r="AV5" s="4"/>
      <c r="AW5" s="4"/>
      <c r="AX5" s="4"/>
      <c r="AY5" s="4"/>
      <c r="AZ5" s="4"/>
      <c r="BA5" s="4"/>
      <c r="BB5" s="4"/>
      <c r="BC5" s="4"/>
      <c r="BD5" s="4"/>
    </row>
    <row r="6" spans="2:58" x14ac:dyDescent="0.3">
      <c r="B6" s="1">
        <v>1.0349406204248179E-2</v>
      </c>
      <c r="C6" s="1"/>
      <c r="D6" s="4"/>
      <c r="E6" s="5" t="s">
        <v>8</v>
      </c>
      <c r="G6" s="5" t="s">
        <v>8</v>
      </c>
      <c r="H6" s="10"/>
      <c r="I6" s="1">
        <f t="shared" ref="I6:I69" si="9">+B6*B6*$G$10+$G$8</f>
        <v>5.0000321330626338</v>
      </c>
      <c r="K6" s="5" t="s">
        <v>2</v>
      </c>
      <c r="M6" s="1">
        <f t="shared" si="0"/>
        <v>0.40426614260052784</v>
      </c>
      <c r="N6" s="1">
        <f t="shared" si="1"/>
        <v>1.0917984841880131</v>
      </c>
      <c r="O6" s="1">
        <f t="shared" si="2"/>
        <v>1.2746899411052279</v>
      </c>
      <c r="P6" s="1">
        <f t="shared" si="3"/>
        <v>1.1385774947284035</v>
      </c>
      <c r="R6" s="21">
        <f t="shared" ref="R6:R69" si="10">+IF(M6&gt;=0,M6,0)</f>
        <v>0.40426614260052784</v>
      </c>
      <c r="S6" s="21">
        <f t="shared" ref="S6:S69" si="11">+IF(N6&gt;=0,N6,0)</f>
        <v>1.0917984841880131</v>
      </c>
      <c r="T6" s="21">
        <f t="shared" ref="T6:T69" si="12">+IF(O6&gt;=0,O6,0)</f>
        <v>1.2746899411052279</v>
      </c>
      <c r="U6" s="21">
        <f t="shared" ref="U6:U69" si="13">+IF(P6&gt;=0,P6,0)</f>
        <v>1.1385774947284035</v>
      </c>
      <c r="W6" s="5" t="s">
        <v>2</v>
      </c>
      <c r="Y6" s="21">
        <f t="shared" ref="Y6:Y69" si="14">+$W$7+$W$9*M6+$W$11*N6+$W$13*O6+P6*$W$15</f>
        <v>4.9582976175864442</v>
      </c>
      <c r="Z6" s="21">
        <f t="shared" ref="Z6:Z69" si="15">+IF(Y6&gt;=0,Y6,0)</f>
        <v>4.9582976175864442</v>
      </c>
      <c r="AB6" s="21">
        <f t="shared" si="4"/>
        <v>4.1734515476189671E-2</v>
      </c>
      <c r="AD6" s="1">
        <f t="shared" ref="AD6:AD69" si="16">+(2/$AT$5)*(-1)*($AB6)*$W$9</f>
        <v>-4.3782937213833776E-4</v>
      </c>
      <c r="AE6" s="1">
        <f t="shared" si="5"/>
        <v>-4.5312740204105979E-6</v>
      </c>
      <c r="AF6" s="1">
        <f t="shared" ref="AF6:AF69" si="17">+(2/$AT$5)*(-1)*($AB6)*$W$11</f>
        <v>-3.0900233050357433E-4</v>
      </c>
      <c r="AG6" s="1">
        <f t="shared" si="6"/>
        <v>-3.1979906364408388E-6</v>
      </c>
      <c r="AH6" s="1">
        <f t="shared" ref="AH6:AH69" si="18">+(2/$AT$5)*(-1)*($AB6)*$W$13</f>
        <v>-5.3335103196684524E-4</v>
      </c>
      <c r="AI6" s="1">
        <f t="shared" si="7"/>
        <v>-5.5198664792798372E-6</v>
      </c>
      <c r="AJ6" s="1">
        <f t="shared" ref="AJ6:AJ69" si="19">+(2/$AT$5)*(-1)*($AB6)*$W$15</f>
        <v>-3.3783952114011049E-4</v>
      </c>
      <c r="AK6" s="1">
        <f t="shared" si="8"/>
        <v>-3.4964384361276934E-6</v>
      </c>
      <c r="AL6" s="1">
        <f t="shared" ref="AL6:AL69" si="20">+(2/$AT$5)*(-1)*($AB6)</f>
        <v>-4.0916191643323204E-4</v>
      </c>
      <c r="AM6" s="1">
        <f t="shared" ref="AM6:AM69" si="21">+(2/$AT$5)*(-1)*($AB6)*R6</f>
        <v>-1.6541030965550225E-4</v>
      </c>
      <c r="AN6" s="1">
        <f t="shared" ref="AN6:AN69" si="22">+(2/$AT$5)*(-1)*($AB6)*S6</f>
        <v>-4.4672236014926521E-4</v>
      </c>
      <c r="AO6" s="1">
        <f t="shared" ref="AO6:AO69" si="23">+(2/$AT$5)*(-1)*($AB6)*T6</f>
        <v>-5.2155457916077872E-4</v>
      </c>
      <c r="AP6" s="1">
        <f t="shared" ref="AP6:AP69" si="24">+(2/$AT$5)*(-1)*($AB6)*U6</f>
        <v>-4.6586254975082174E-4</v>
      </c>
      <c r="AT6" s="45" t="s">
        <v>12</v>
      </c>
      <c r="AU6" s="46"/>
    </row>
    <row r="7" spans="2:58" x14ac:dyDescent="0.3">
      <c r="B7" s="1">
        <v>0.34233048984887049</v>
      </c>
      <c r="C7" s="1"/>
      <c r="D7" s="4"/>
      <c r="E7" s="1" t="s">
        <v>8</v>
      </c>
      <c r="G7" s="5" t="s">
        <v>2</v>
      </c>
      <c r="H7" s="10"/>
      <c r="I7" s="1">
        <f t="shared" si="9"/>
        <v>5.0351570492840505</v>
      </c>
      <c r="K7" s="24">
        <f>+$AT$14</f>
        <v>0.40111911701294095</v>
      </c>
      <c r="M7" s="1">
        <f t="shared" si="0"/>
        <v>0.50521424959391315</v>
      </c>
      <c r="N7" s="1">
        <f t="shared" si="1"/>
        <v>1.2386670882779072</v>
      </c>
      <c r="O7" s="1">
        <f t="shared" si="2"/>
        <v>1.1616804256901185</v>
      </c>
      <c r="P7" s="1">
        <f t="shared" si="3"/>
        <v>1.1716719708814205</v>
      </c>
      <c r="R7" s="21">
        <f t="shared" si="10"/>
        <v>0.50521424959391315</v>
      </c>
      <c r="S7" s="21">
        <f t="shared" si="11"/>
        <v>1.2386670882779072</v>
      </c>
      <c r="T7" s="21">
        <f t="shared" si="12"/>
        <v>1.1616804256901185</v>
      </c>
      <c r="U7" s="21">
        <f t="shared" si="13"/>
        <v>1.1716719708814205</v>
      </c>
      <c r="W7" s="15">
        <f>+$BB$14</f>
        <v>1.0994792008197185</v>
      </c>
      <c r="Y7" s="21">
        <f t="shared" si="14"/>
        <v>5.0572502960399754</v>
      </c>
      <c r="Z7" s="21">
        <f t="shared" si="15"/>
        <v>5.0572502960399754</v>
      </c>
      <c r="AB7" s="21">
        <f t="shared" si="4"/>
        <v>-2.2093246755924945E-2</v>
      </c>
      <c r="AD7" s="1">
        <f t="shared" si="16"/>
        <v>2.3177631860043173E-4</v>
      </c>
      <c r="AE7" s="1">
        <f t="shared" si="5"/>
        <v>7.9344100681853674E-5</v>
      </c>
      <c r="AF7" s="1">
        <f t="shared" si="17"/>
        <v>1.6357838729111869E-4</v>
      </c>
      <c r="AG7" s="1">
        <f t="shared" si="6"/>
        <v>5.5997869450056913E-5</v>
      </c>
      <c r="AH7" s="1">
        <f t="shared" si="18"/>
        <v>2.823431833896193E-4</v>
      </c>
      <c r="AI7" s="1">
        <f t="shared" si="7"/>
        <v>9.6654680275257851E-5</v>
      </c>
      <c r="AJ7" s="1">
        <f t="shared" si="19"/>
        <v>1.7884410108247981E-4</v>
      </c>
      <c r="AK7" s="1">
        <f t="shared" si="8"/>
        <v>6.1223788730146224E-5</v>
      </c>
      <c r="AL7" s="1">
        <f t="shared" si="20"/>
        <v>2.1660045839142102E-4</v>
      </c>
      <c r="AM7" s="1">
        <f t="shared" si="21"/>
        <v>1.0942963804791938E-4</v>
      </c>
      <c r="AN7" s="1">
        <f t="shared" si="22"/>
        <v>2.6829585911536147E-4</v>
      </c>
      <c r="AO7" s="1">
        <f t="shared" si="23"/>
        <v>2.516205127088208E-4</v>
      </c>
      <c r="AP7" s="1">
        <f t="shared" si="24"/>
        <v>2.5378468597729537E-4</v>
      </c>
      <c r="AT7" s="12" t="s">
        <v>39</v>
      </c>
      <c r="AU7" s="12" t="s">
        <v>40</v>
      </c>
      <c r="AV7" s="12" t="s">
        <v>41</v>
      </c>
      <c r="AW7" s="12" t="s">
        <v>42</v>
      </c>
      <c r="AX7" s="12" t="s">
        <v>44</v>
      </c>
      <c r="AY7" s="12" t="s">
        <v>43</v>
      </c>
      <c r="AZ7" s="12" t="s">
        <v>45</v>
      </c>
      <c r="BA7" s="12" t="s">
        <v>46</v>
      </c>
      <c r="BB7" s="12" t="s">
        <v>47</v>
      </c>
      <c r="BC7" s="12" t="s">
        <v>48</v>
      </c>
      <c r="BD7" s="12" t="s">
        <v>49</v>
      </c>
      <c r="BE7" s="12" t="s">
        <v>50</v>
      </c>
      <c r="BF7" s="12" t="s">
        <v>51</v>
      </c>
    </row>
    <row r="8" spans="2:58" x14ac:dyDescent="0.3">
      <c r="B8" s="1">
        <v>0.23089450366421405</v>
      </c>
      <c r="C8" s="1"/>
      <c r="D8" s="4"/>
      <c r="E8" s="1"/>
      <c r="G8" s="15">
        <v>5</v>
      </c>
      <c r="H8" s="11"/>
      <c r="I8" s="1">
        <f t="shared" si="9"/>
        <v>5.0159936815467034</v>
      </c>
      <c r="K8" s="5" t="s">
        <v>3</v>
      </c>
      <c r="M8" s="1">
        <f t="shared" si="0"/>
        <v>0.47132903019290612</v>
      </c>
      <c r="N8" s="1">
        <f t="shared" si="1"/>
        <v>1.189367750024523</v>
      </c>
      <c r="O8" s="1">
        <f t="shared" si="2"/>
        <v>1.1996142942716601</v>
      </c>
      <c r="P8" s="1">
        <f t="shared" si="3"/>
        <v>1.160563158454855</v>
      </c>
      <c r="R8" s="21">
        <f t="shared" si="10"/>
        <v>0.47132903019290612</v>
      </c>
      <c r="S8" s="21">
        <f t="shared" si="11"/>
        <v>1.189367750024523</v>
      </c>
      <c r="T8" s="21">
        <f t="shared" si="12"/>
        <v>1.1996142942716601</v>
      </c>
      <c r="U8" s="21">
        <f t="shared" si="13"/>
        <v>1.160563158454855</v>
      </c>
      <c r="W8" s="5" t="s">
        <v>3</v>
      </c>
      <c r="Y8" s="21">
        <f t="shared" si="14"/>
        <v>5.0240348815108558</v>
      </c>
      <c r="Z8" s="21">
        <f t="shared" si="15"/>
        <v>5.0240348815108558</v>
      </c>
      <c r="AB8" s="21">
        <f t="shared" si="4"/>
        <v>-8.0411999641523124E-3</v>
      </c>
      <c r="AD8" s="1">
        <f t="shared" si="16"/>
        <v>8.4358797301773913E-5</v>
      </c>
      <c r="AE8" s="1">
        <f t="shared" si="5"/>
        <v>1.9477982632703128E-5</v>
      </c>
      <c r="AF8" s="1">
        <f t="shared" si="17"/>
        <v>5.9537040279907389E-5</v>
      </c>
      <c r="AG8" s="1">
        <f t="shared" si="6"/>
        <v>1.3746775365065536E-5</v>
      </c>
      <c r="AH8" s="1">
        <f t="shared" si="18"/>
        <v>1.0276343813262253E-4</v>
      </c>
      <c r="AI8" s="1">
        <f t="shared" si="7"/>
        <v>2.3727513042460046E-5</v>
      </c>
      <c r="AJ8" s="1">
        <f t="shared" si="19"/>
        <v>6.5093247502321733E-5</v>
      </c>
      <c r="AK8" s="1">
        <f t="shared" si="8"/>
        <v>1.5029673073940417E-5</v>
      </c>
      <c r="AL8" s="1">
        <f t="shared" si="20"/>
        <v>7.8835293766199138E-5</v>
      </c>
      <c r="AM8" s="1">
        <f t="shared" si="21"/>
        <v>3.7157362555795495E-5</v>
      </c>
      <c r="AN8" s="1">
        <f t="shared" si="22"/>
        <v>9.3764155969226567E-5</v>
      </c>
      <c r="AO8" s="1">
        <f t="shared" si="23"/>
        <v>9.4571945295037979E-5</v>
      </c>
      <c r="AP8" s="1">
        <f t="shared" si="24"/>
        <v>9.1493337531016415E-5</v>
      </c>
      <c r="AT8" s="2">
        <f t="shared" ref="AT8:BF8" si="25">+SUM(AD5:AD208)</f>
        <v>-1.8910088359015871E-8</v>
      </c>
      <c r="AU8" s="2">
        <f t="shared" si="25"/>
        <v>1.2908350435696472E-7</v>
      </c>
      <c r="AV8" s="2">
        <f t="shared" si="25"/>
        <v>-1.3345978467732512E-8</v>
      </c>
      <c r="AW8" s="2">
        <f t="shared" si="25"/>
        <v>9.1101936540286844E-8</v>
      </c>
      <c r="AX8" s="2">
        <f>+SUM(AH5:AH208)</f>
        <v>-2.3035720722315405E-8</v>
      </c>
      <c r="AY8" s="2">
        <f t="shared" si="25"/>
        <v>1.5724577801244947E-7</v>
      </c>
      <c r="AZ8" s="2">
        <f t="shared" si="25"/>
        <v>-1.4591472392090936E-8</v>
      </c>
      <c r="BA8" s="2">
        <f t="shared" si="25"/>
        <v>9.9603891547946988E-8</v>
      </c>
      <c r="BB8" s="2">
        <f t="shared" si="25"/>
        <v>-1.7671925378994272E-8</v>
      </c>
      <c r="BC8" s="2">
        <f t="shared" si="25"/>
        <v>2.959285258502661E-8</v>
      </c>
      <c r="BD8" s="2">
        <f t="shared" si="25"/>
        <v>3.4154209914254163E-8</v>
      </c>
      <c r="BE8" s="2">
        <f t="shared" si="25"/>
        <v>-6.3652624407168745E-8</v>
      </c>
      <c r="BF8" s="2">
        <f t="shared" si="25"/>
        <v>-8.0771217802252243E-9</v>
      </c>
    </row>
    <row r="9" spans="2:58" x14ac:dyDescent="0.3">
      <c r="B9" s="1">
        <v>4.8632003751243325E-2</v>
      </c>
      <c r="C9" s="1"/>
      <c r="D9" s="4"/>
      <c r="E9" s="1"/>
      <c r="G9" s="5" t="s">
        <v>3</v>
      </c>
      <c r="H9" s="10"/>
      <c r="I9" s="1">
        <f t="shared" si="9"/>
        <v>5.0007095215366579</v>
      </c>
      <c r="K9" s="25">
        <f>+$AU$14</f>
        <v>0.30407788867105406</v>
      </c>
      <c r="M9" s="1">
        <f t="shared" si="0"/>
        <v>0.41590703403546181</v>
      </c>
      <c r="N9" s="1">
        <f t="shared" si="1"/>
        <v>1.108734725256137</v>
      </c>
      <c r="O9" s="1">
        <f t="shared" si="2"/>
        <v>1.2616581811322749</v>
      </c>
      <c r="P9" s="1">
        <f t="shared" si="3"/>
        <v>1.1423938040725552</v>
      </c>
      <c r="R9" s="21">
        <f t="shared" si="10"/>
        <v>0.41590703403546181</v>
      </c>
      <c r="S9" s="21">
        <f t="shared" si="11"/>
        <v>1.108734725256137</v>
      </c>
      <c r="T9" s="21">
        <f t="shared" si="12"/>
        <v>1.2616581811322749</v>
      </c>
      <c r="U9" s="21">
        <f t="shared" si="13"/>
        <v>1.1423938040725552</v>
      </c>
      <c r="W9" s="15">
        <f>+$BC$14</f>
        <v>1.0700638416082493</v>
      </c>
      <c r="Y9" s="21">
        <f t="shared" si="14"/>
        <v>4.9697084049838631</v>
      </c>
      <c r="Z9" s="21">
        <f t="shared" si="15"/>
        <v>4.9697084049838631</v>
      </c>
      <c r="AB9" s="21">
        <f t="shared" si="4"/>
        <v>3.1001116552794805E-2</v>
      </c>
      <c r="AD9" s="1">
        <f t="shared" si="16"/>
        <v>-3.252271948296931E-4</v>
      </c>
      <c r="AE9" s="1">
        <f t="shared" si="5"/>
        <v>-1.5816450158963978E-5</v>
      </c>
      <c r="AF9" s="1">
        <f t="shared" si="17"/>
        <v>-2.2953225055390348E-4</v>
      </c>
      <c r="AG9" s="1">
        <f t="shared" si="6"/>
        <v>-1.1162613269968756E-5</v>
      </c>
      <c r="AH9" s="1">
        <f t="shared" si="18"/>
        <v>-3.9618232814972513E-4</v>
      </c>
      <c r="AI9" s="1">
        <f t="shared" si="7"/>
        <v>-1.9267140468753745E-5</v>
      </c>
      <c r="AJ9" s="1">
        <f t="shared" si="19"/>
        <v>-2.5095301218916092E-4</v>
      </c>
      <c r="AK9" s="1">
        <f t="shared" si="8"/>
        <v>-1.2204347830169085E-5</v>
      </c>
      <c r="AL9" s="1">
        <f t="shared" si="20"/>
        <v>-3.0393251522347849E-4</v>
      </c>
      <c r="AM9" s="1">
        <f t="shared" si="21"/>
        <v>-1.2640767095353479E-4</v>
      </c>
      <c r="AN9" s="1">
        <f t="shared" si="22"/>
        <v>-3.369805337627101E-4</v>
      </c>
      <c r="AO9" s="1">
        <f t="shared" si="23"/>
        <v>-3.8345894434381131E-4</v>
      </c>
      <c r="AP9" s="1">
        <f t="shared" si="24"/>
        <v>-3.4721062224748941E-4</v>
      </c>
      <c r="AT9" s="47" t="s">
        <v>13</v>
      </c>
      <c r="AU9" s="48"/>
    </row>
    <row r="10" spans="2:58" x14ac:dyDescent="0.3">
      <c r="B10" s="1">
        <v>0.84929539444746172</v>
      </c>
      <c r="C10" s="1"/>
      <c r="D10" s="4"/>
      <c r="E10" s="1"/>
      <c r="G10" s="15">
        <v>0.3</v>
      </c>
      <c r="H10" s="11"/>
      <c r="I10" s="1">
        <f t="shared" si="9"/>
        <v>5.2163908001089005</v>
      </c>
      <c r="M10" s="1">
        <f t="shared" si="0"/>
        <v>0.65937106741457518</v>
      </c>
      <c r="N10" s="1">
        <f t="shared" si="1"/>
        <v>1.462948625778598</v>
      </c>
      <c r="O10" s="1">
        <f t="shared" si="2"/>
        <v>0.98910475489532246</v>
      </c>
      <c r="P10" s="1">
        <f t="shared" si="3"/>
        <v>1.2222102056551067</v>
      </c>
      <c r="R10" s="21">
        <f t="shared" si="10"/>
        <v>0.65937106741457518</v>
      </c>
      <c r="S10" s="21">
        <f t="shared" si="11"/>
        <v>1.462948625778598</v>
      </c>
      <c r="T10" s="21">
        <f t="shared" si="12"/>
        <v>0.98910475489532246</v>
      </c>
      <c r="U10" s="21">
        <f t="shared" si="13"/>
        <v>1.2222102056551067</v>
      </c>
      <c r="W10" s="5" t="s">
        <v>5</v>
      </c>
      <c r="Y10" s="21">
        <f t="shared" si="14"/>
        <v>5.2083599154231983</v>
      </c>
      <c r="Z10" s="21">
        <f t="shared" si="15"/>
        <v>5.2083599154231983</v>
      </c>
      <c r="AB10" s="21">
        <f t="shared" si="4"/>
        <v>8.0308846857022331E-3</v>
      </c>
      <c r="AD10" s="1">
        <f t="shared" si="16"/>
        <v>-8.425058155191558E-5</v>
      </c>
      <c r="AE10" s="1">
        <f t="shared" si="5"/>
        <v>-7.1553630891562188E-5</v>
      </c>
      <c r="AF10" s="1">
        <f t="shared" si="17"/>
        <v>-5.946066596372092E-5</v>
      </c>
      <c r="AG10" s="1">
        <f t="shared" si="6"/>
        <v>-5.0499669753767121E-5</v>
      </c>
      <c r="AH10" s="1">
        <f t="shared" si="18"/>
        <v>-1.0263161284739755E-4</v>
      </c>
      <c r="AI10" s="1">
        <f t="shared" si="7"/>
        <v>-8.7164556116009682E-5</v>
      </c>
      <c r="AJ10" s="1">
        <f t="shared" si="19"/>
        <v>-6.5009745664760217E-5</v>
      </c>
      <c r="AK10" s="1">
        <f t="shared" si="8"/>
        <v>-5.5212477587281692E-5</v>
      </c>
      <c r="AL10" s="1">
        <f t="shared" si="20"/>
        <v>-7.8734163585316011E-5</v>
      </c>
      <c r="AM10" s="1">
        <f t="shared" si="21"/>
        <v>-5.1915029485243593E-5</v>
      </c>
      <c r="AN10" s="1">
        <f t="shared" si="22"/>
        <v>-1.1518403641896539E-4</v>
      </c>
      <c r="AO10" s="1">
        <f t="shared" si="23"/>
        <v>-7.7876335574942221E-5</v>
      </c>
      <c r="AP10" s="1">
        <f t="shared" si="24"/>
        <v>-9.6229698267691894E-5</v>
      </c>
      <c r="AT10" s="49">
        <v>0.1</v>
      </c>
      <c r="AU10" s="50"/>
    </row>
    <row r="11" spans="2:58" x14ac:dyDescent="0.3">
      <c r="B11" s="1">
        <v>0.75250039116648282</v>
      </c>
      <c r="C11" s="1"/>
      <c r="D11" s="4"/>
      <c r="E11" s="1"/>
      <c r="G11" s="4"/>
      <c r="H11" s="4"/>
      <c r="I11" s="1">
        <f t="shared" si="9"/>
        <v>5.1698770516117127</v>
      </c>
      <c r="M11" s="1">
        <f t="shared" si="0"/>
        <v>0.62993784718298729</v>
      </c>
      <c r="N11" s="1">
        <f t="shared" si="1"/>
        <v>1.4201264659775532</v>
      </c>
      <c r="O11" s="1">
        <f t="shared" si="2"/>
        <v>1.0220546937752648</v>
      </c>
      <c r="P11" s="1">
        <f t="shared" si="3"/>
        <v>1.212560921145744</v>
      </c>
      <c r="R11" s="21">
        <f t="shared" si="10"/>
        <v>0.62993784718298729</v>
      </c>
      <c r="S11" s="21">
        <f t="shared" si="11"/>
        <v>1.4201264659775532</v>
      </c>
      <c r="T11" s="21">
        <f t="shared" si="12"/>
        <v>1.0220546937752648</v>
      </c>
      <c r="U11" s="21">
        <f t="shared" si="13"/>
        <v>1.212560921145744</v>
      </c>
      <c r="W11" s="15">
        <f>+$BD$14</f>
        <v>0.75520794603081787</v>
      </c>
      <c r="Y11" s="21">
        <f t="shared" si="14"/>
        <v>5.1795084979556174</v>
      </c>
      <c r="Z11" s="21">
        <f t="shared" si="15"/>
        <v>5.1795084979556174</v>
      </c>
      <c r="AB11" s="21">
        <f t="shared" si="4"/>
        <v>-9.6314463439046705E-3</v>
      </c>
      <c r="AD11" s="1">
        <f t="shared" si="16"/>
        <v>1.0104178897061136E-4</v>
      </c>
      <c r="AE11" s="1">
        <f t="shared" si="5"/>
        <v>7.6033985724546254E-5</v>
      </c>
      <c r="AF11" s="1">
        <f t="shared" si="17"/>
        <v>7.1311223634179177E-5</v>
      </c>
      <c r="AG11" s="1">
        <f t="shared" si="6"/>
        <v>5.3661723679280367E-5</v>
      </c>
      <c r="AH11" s="1">
        <f t="shared" si="18"/>
        <v>1.2308617431501217E-4</v>
      </c>
      <c r="AI11" s="1">
        <f t="shared" si="7"/>
        <v>9.2622394319232548E-5</v>
      </c>
      <c r="AJ11" s="1">
        <f t="shared" si="19"/>
        <v>7.7966239300605365E-5</v>
      </c>
      <c r="AK11" s="1">
        <f t="shared" si="8"/>
        <v>5.866962557148514E-5</v>
      </c>
      <c r="AL11" s="1">
        <f t="shared" si="20"/>
        <v>9.4425944548085002E-5</v>
      </c>
      <c r="AM11" s="1">
        <f t="shared" si="21"/>
        <v>5.9482476226840803E-5</v>
      </c>
      <c r="AN11" s="1">
        <f t="shared" si="22"/>
        <v>1.3409678292766435E-4</v>
      </c>
      <c r="AO11" s="1">
        <f t="shared" si="23"/>
        <v>9.6508479839533157E-5</v>
      </c>
      <c r="AP11" s="1">
        <f t="shared" si="24"/>
        <v>1.144972103012829E-4</v>
      </c>
    </row>
    <row r="12" spans="2:58" x14ac:dyDescent="0.3">
      <c r="B12" s="1">
        <v>0.18146656144565132</v>
      </c>
      <c r="C12" s="1"/>
      <c r="D12" s="4"/>
      <c r="E12" s="1"/>
      <c r="G12" s="4"/>
      <c r="H12" s="4"/>
      <c r="I12" s="1">
        <f t="shared" si="9"/>
        <v>5.0098790338768726</v>
      </c>
      <c r="K12" s="5" t="s">
        <v>66</v>
      </c>
      <c r="M12" s="1">
        <f t="shared" si="0"/>
        <v>0.45629908588173068</v>
      </c>
      <c r="N12" s="1">
        <f t="shared" si="1"/>
        <v>1.1675008026762601</v>
      </c>
      <c r="O12" s="1">
        <f t="shared" si="2"/>
        <v>1.2164400354758345</v>
      </c>
      <c r="P12" s="1">
        <f t="shared" si="3"/>
        <v>1.1556357938077899</v>
      </c>
      <c r="R12" s="21">
        <f t="shared" si="10"/>
        <v>0.45629908588173068</v>
      </c>
      <c r="S12" s="21">
        <f t="shared" si="11"/>
        <v>1.1675008026762601</v>
      </c>
      <c r="T12" s="21">
        <f t="shared" si="12"/>
        <v>1.2164400354758345</v>
      </c>
      <c r="U12" s="21">
        <f t="shared" si="13"/>
        <v>1.1556357938077899</v>
      </c>
      <c r="W12" s="5" t="s">
        <v>6</v>
      </c>
      <c r="Y12" s="21">
        <f t="shared" si="14"/>
        <v>5.0093020322193311</v>
      </c>
      <c r="Z12" s="21">
        <f t="shared" si="15"/>
        <v>5.0093020322193311</v>
      </c>
      <c r="AB12" s="21">
        <f t="shared" si="4"/>
        <v>5.7700165754148713E-4</v>
      </c>
      <c r="AD12" s="1">
        <f t="shared" si="16"/>
        <v>-6.0532216694428547E-6</v>
      </c>
      <c r="AE12" s="1">
        <f t="shared" si="5"/>
        <v>-1.0984573220220999E-6</v>
      </c>
      <c r="AF12" s="1">
        <f t="shared" si="17"/>
        <v>-4.2721199671400377E-6</v>
      </c>
      <c r="AG12" s="1">
        <f t="shared" si="6"/>
        <v>-7.7524692052021159E-7</v>
      </c>
      <c r="AH12" s="1">
        <f t="shared" si="18"/>
        <v>-7.373858926717537E-6</v>
      </c>
      <c r="AI12" s="1">
        <f t="shared" si="7"/>
        <v>-1.3381088240167524E-6</v>
      </c>
      <c r="AJ12" s="1">
        <f t="shared" si="19"/>
        <v>-4.6708093159025545E-6</v>
      </c>
      <c r="AK12" s="1">
        <f t="shared" si="8"/>
        <v>-8.475957057251515E-7</v>
      </c>
      <c r="AL12" s="1">
        <f t="shared" si="20"/>
        <v>-5.6568789955047759E-6</v>
      </c>
      <c r="AM12" s="1">
        <f t="shared" si="21"/>
        <v>-2.5812287145923921E-6</v>
      </c>
      <c r="AN12" s="1">
        <f t="shared" si="22"/>
        <v>-6.6044107678943021E-6</v>
      </c>
      <c r="AO12" s="1">
        <f t="shared" si="23"/>
        <v>-6.8812540859743325E-6</v>
      </c>
      <c r="AP12" s="1">
        <f t="shared" si="24"/>
        <v>-6.5372918484447746E-6</v>
      </c>
      <c r="AT12" s="59" t="s">
        <v>53</v>
      </c>
      <c r="AU12" s="59"/>
      <c r="AV12" s="4"/>
      <c r="AW12" s="4"/>
      <c r="AX12" s="4"/>
      <c r="AY12" s="4"/>
      <c r="AZ12" s="4"/>
      <c r="BA12" s="4"/>
      <c r="BB12" s="4"/>
      <c r="BC12" s="4"/>
      <c r="BD12" s="4"/>
    </row>
    <row r="13" spans="2:58" x14ac:dyDescent="0.3">
      <c r="B13" s="1">
        <v>9.7883930787303619E-3</v>
      </c>
      <c r="C13" s="1"/>
      <c r="D13" s="4"/>
      <c r="E13" s="1"/>
      <c r="G13" s="4"/>
      <c r="H13" s="4"/>
      <c r="I13" s="1">
        <f t="shared" si="9"/>
        <v>5.0000287437917192</v>
      </c>
      <c r="K13" s="5" t="s">
        <v>27</v>
      </c>
      <c r="M13" s="1">
        <f t="shared" si="0"/>
        <v>0.40409555091380361</v>
      </c>
      <c r="N13" s="1">
        <f t="shared" si="1"/>
        <v>1.0915502916894637</v>
      </c>
      <c r="O13" s="1">
        <f t="shared" si="2"/>
        <v>1.2748809153039995</v>
      </c>
      <c r="P13" s="1">
        <f t="shared" si="3"/>
        <v>1.1385215685433927</v>
      </c>
      <c r="R13" s="21">
        <f t="shared" si="10"/>
        <v>0.40409555091380361</v>
      </c>
      <c r="S13" s="21">
        <f t="shared" si="11"/>
        <v>1.0915502916894637</v>
      </c>
      <c r="T13" s="21">
        <f t="shared" si="12"/>
        <v>1.2748809153039995</v>
      </c>
      <c r="U13" s="21">
        <f t="shared" si="13"/>
        <v>1.1385215685433927</v>
      </c>
      <c r="W13" s="15">
        <f>+$BE$14</f>
        <v>1.3035207103735389</v>
      </c>
      <c r="Y13" s="21">
        <f t="shared" si="14"/>
        <v>4.9581303979641449</v>
      </c>
      <c r="Z13" s="21">
        <f t="shared" si="15"/>
        <v>4.9581303979641449</v>
      </c>
      <c r="AB13" s="21">
        <f t="shared" si="4"/>
        <v>4.1898345827574346E-2</v>
      </c>
      <c r="AD13" s="1">
        <f t="shared" si="16"/>
        <v>-4.3954808718907025E-4</v>
      </c>
      <c r="AE13" s="1">
        <f t="shared" si="5"/>
        <v>-4.3024694544106647E-6</v>
      </c>
      <c r="AF13" s="1">
        <f t="shared" si="17"/>
        <v>-3.1021533033854224E-4</v>
      </c>
      <c r="AG13" s="1">
        <f t="shared" si="6"/>
        <v>-3.0365095924018398E-6</v>
      </c>
      <c r="AH13" s="1">
        <f t="shared" si="18"/>
        <v>-5.3544472075133247E-4</v>
      </c>
      <c r="AI13" s="1">
        <f t="shared" si="7"/>
        <v>-5.2411433986450543E-6</v>
      </c>
      <c r="AJ13" s="1">
        <f t="shared" si="19"/>
        <v>-3.3916572241089304E-4</v>
      </c>
      <c r="AK13" s="1">
        <f t="shared" si="8"/>
        <v>-3.3198874097893688E-6</v>
      </c>
      <c r="AL13" s="1">
        <f t="shared" si="20"/>
        <v>-4.107680963487681E-4</v>
      </c>
      <c r="AM13" s="1">
        <f t="shared" si="21"/>
        <v>-1.6598956019186982E-4</v>
      </c>
      <c r="AN13" s="1">
        <f t="shared" si="22"/>
        <v>-4.4837403538622355E-4</v>
      </c>
      <c r="AO13" s="1">
        <f t="shared" si="23"/>
        <v>-5.2368040665079897E-4</v>
      </c>
      <c r="AP13" s="1">
        <f t="shared" si="24"/>
        <v>-4.6766833736258293E-4</v>
      </c>
      <c r="AT13" s="12" t="s">
        <v>39</v>
      </c>
      <c r="AU13" s="12" t="s">
        <v>40</v>
      </c>
      <c r="AV13" s="12" t="s">
        <v>41</v>
      </c>
      <c r="AW13" s="12" t="s">
        <v>42</v>
      </c>
      <c r="AX13" s="12" t="s">
        <v>44</v>
      </c>
      <c r="AY13" s="12" t="s">
        <v>43</v>
      </c>
      <c r="AZ13" s="12" t="s">
        <v>45</v>
      </c>
      <c r="BA13" s="12" t="s">
        <v>46</v>
      </c>
      <c r="BB13" s="12" t="s">
        <v>47</v>
      </c>
      <c r="BC13" s="12" t="s">
        <v>48</v>
      </c>
      <c r="BD13" s="12" t="s">
        <v>49</v>
      </c>
      <c r="BE13" s="12" t="s">
        <v>50</v>
      </c>
      <c r="BF13" s="12" t="s">
        <v>51</v>
      </c>
    </row>
    <row r="14" spans="2:58" x14ac:dyDescent="0.3">
      <c r="B14" s="1">
        <v>0.56443169814142091</v>
      </c>
      <c r="C14" s="1"/>
      <c r="D14" s="4"/>
      <c r="E14" s="1"/>
      <c r="G14" s="4"/>
      <c r="H14" s="4"/>
      <c r="I14" s="1">
        <f t="shared" si="9"/>
        <v>5.0955749425600425</v>
      </c>
      <c r="K14" s="5" t="s">
        <v>2</v>
      </c>
      <c r="M14" s="1">
        <f t="shared" si="0"/>
        <v>0.57275031608280191</v>
      </c>
      <c r="N14" s="1">
        <f t="shared" si="1"/>
        <v>1.3369247783561895</v>
      </c>
      <c r="O14" s="1">
        <f t="shared" si="2"/>
        <v>1.0860750639427008</v>
      </c>
      <c r="P14" s="1">
        <f t="shared" si="3"/>
        <v>1.1938127599309027</v>
      </c>
      <c r="R14" s="21">
        <f t="shared" si="10"/>
        <v>0.57275031608280191</v>
      </c>
      <c r="S14" s="21">
        <f t="shared" si="11"/>
        <v>1.3369247783561895</v>
      </c>
      <c r="T14" s="21">
        <f t="shared" si="12"/>
        <v>1.0860750639427008</v>
      </c>
      <c r="U14" s="21">
        <f t="shared" si="13"/>
        <v>1.1938127599309027</v>
      </c>
      <c r="W14" s="5" t="s">
        <v>30</v>
      </c>
      <c r="Y14" s="21">
        <f t="shared" si="14"/>
        <v>5.1234513855931372</v>
      </c>
      <c r="Z14" s="21">
        <f t="shared" si="15"/>
        <v>5.1234513855931372</v>
      </c>
      <c r="AB14" s="21">
        <f t="shared" si="4"/>
        <v>-2.7876443033094667E-2</v>
      </c>
      <c r="AD14" s="1">
        <f t="shared" si="16"/>
        <v>2.9244680119967445E-4</v>
      </c>
      <c r="AE14" s="1">
        <f t="shared" si="5"/>
        <v>1.6506624461715879E-4</v>
      </c>
      <c r="AF14" s="1">
        <f t="shared" si="17"/>
        <v>2.0639716946733847E-4</v>
      </c>
      <c r="AG14" s="1">
        <f t="shared" si="6"/>
        <v>1.1649710485403249E-4</v>
      </c>
      <c r="AH14" s="1">
        <f t="shared" si="18"/>
        <v>3.5625020416850048E-4</v>
      </c>
      <c r="AI14" s="1">
        <f t="shared" si="7"/>
        <v>2.0107890770205462E-4</v>
      </c>
      <c r="AJ14" s="1">
        <f t="shared" si="19"/>
        <v>2.2565888349089099E-4</v>
      </c>
      <c r="AK14" s="1">
        <f t="shared" si="8"/>
        <v>1.2736902680946066E-4</v>
      </c>
      <c r="AL14" s="1">
        <f t="shared" si="20"/>
        <v>2.7329846110877123E-4</v>
      </c>
      <c r="AM14" s="1">
        <f t="shared" si="21"/>
        <v>1.5653177998499208E-4</v>
      </c>
      <c r="AN14" s="1">
        <f t="shared" si="22"/>
        <v>3.6537948454293164E-4</v>
      </c>
      <c r="AO14" s="1">
        <f t="shared" si="23"/>
        <v>2.9682264362415042E-4</v>
      </c>
      <c r="AP14" s="1">
        <f t="shared" si="24"/>
        <v>3.2626719014113069E-4</v>
      </c>
      <c r="AT14" s="2">
        <v>0.40111911701294095</v>
      </c>
      <c r="AU14" s="2">
        <v>0.30407788867105406</v>
      </c>
      <c r="AV14" s="2">
        <v>1.0872199014998369</v>
      </c>
      <c r="AW14" s="2">
        <v>0.44240052016672515</v>
      </c>
      <c r="AX14" s="2">
        <v>1.2782129773190269</v>
      </c>
      <c r="AY14" s="2">
        <v>-0.3404095021753813</v>
      </c>
      <c r="AZ14" s="2">
        <v>1.137545784809681</v>
      </c>
      <c r="BA14" s="2">
        <v>9.968783699870068E-2</v>
      </c>
      <c r="BB14" s="2">
        <v>1.0994792008197185</v>
      </c>
      <c r="BC14" s="2">
        <v>1.0700638416082493</v>
      </c>
      <c r="BD14" s="2">
        <v>0.75520794603081787</v>
      </c>
      <c r="BE14" s="2">
        <v>1.3035207103735389</v>
      </c>
      <c r="BF14" s="2">
        <v>0.82568662324476116</v>
      </c>
    </row>
    <row r="15" spans="2:58" x14ac:dyDescent="0.3">
      <c r="B15" s="1">
        <v>0.23562372746945937</v>
      </c>
      <c r="C15" s="1"/>
      <c r="D15" s="4"/>
      <c r="E15" s="1"/>
      <c r="G15" s="4"/>
      <c r="H15" s="4"/>
      <c r="I15" s="1">
        <f t="shared" si="9"/>
        <v>5.0166555622839804</v>
      </c>
      <c r="K15" s="25">
        <f>+$AV$14</f>
        <v>1.0872199014998369</v>
      </c>
      <c r="M15" s="1">
        <f t="shared" si="0"/>
        <v>0.47276708258265798</v>
      </c>
      <c r="N15" s="1">
        <f t="shared" si="1"/>
        <v>1.1914599610959484</v>
      </c>
      <c r="O15" s="1">
        <f t="shared" si="2"/>
        <v>1.1980044215504406</v>
      </c>
      <c r="P15" s="1">
        <f t="shared" si="3"/>
        <v>1.1610346045466828</v>
      </c>
      <c r="R15" s="21">
        <f t="shared" si="10"/>
        <v>0.47276708258265798</v>
      </c>
      <c r="S15" s="21">
        <f t="shared" si="11"/>
        <v>1.1914599610959484</v>
      </c>
      <c r="T15" s="21">
        <f t="shared" si="12"/>
        <v>1.1980044215504406</v>
      </c>
      <c r="U15" s="21">
        <f t="shared" si="13"/>
        <v>1.1610346045466828</v>
      </c>
      <c r="W15" s="15">
        <f>+$BF$14</f>
        <v>0.82568662324476116</v>
      </c>
      <c r="Y15" s="21">
        <f t="shared" si="14"/>
        <v>5.0254445080998096</v>
      </c>
      <c r="Z15" s="21">
        <f t="shared" si="15"/>
        <v>5.0254445080998096</v>
      </c>
      <c r="AB15" s="21">
        <f t="shared" si="4"/>
        <v>-8.78894581582923E-3</v>
      </c>
      <c r="AD15" s="1">
        <f t="shared" si="16"/>
        <v>9.2203265915421326E-5</v>
      </c>
      <c r="AE15" s="1">
        <f t="shared" si="5"/>
        <v>2.1725277199849327E-5</v>
      </c>
      <c r="AF15" s="1">
        <f t="shared" si="17"/>
        <v>6.5073350170083758E-5</v>
      </c>
      <c r="AG15" s="1">
        <f t="shared" si="6"/>
        <v>1.5332825326000513E-5</v>
      </c>
      <c r="AH15" s="1">
        <f t="shared" si="18"/>
        <v>1.1231934209102216E-4</v>
      </c>
      <c r="AI15" s="1">
        <f t="shared" si="7"/>
        <v>2.646510205040398E-5</v>
      </c>
      <c r="AJ15" s="1">
        <f t="shared" si="19"/>
        <v>7.1146225417188333E-5</v>
      </c>
      <c r="AK15" s="1">
        <f t="shared" si="8"/>
        <v>1.6763738828180305E-5</v>
      </c>
      <c r="AL15" s="1">
        <f t="shared" si="20"/>
        <v>8.6166135449306178E-5</v>
      </c>
      <c r="AM15" s="1">
        <f t="shared" si="21"/>
        <v>4.0736512473790628E-5</v>
      </c>
      <c r="AN15" s="1">
        <f t="shared" si="22"/>
        <v>1.0266350039021856E-4</v>
      </c>
      <c r="AO15" s="1">
        <f t="shared" si="23"/>
        <v>1.0322741125618296E-4</v>
      </c>
      <c r="AP15" s="1">
        <f t="shared" si="24"/>
        <v>1.0004186499670111E-4</v>
      </c>
    </row>
    <row r="16" spans="2:58" x14ac:dyDescent="0.3">
      <c r="B16" s="1">
        <v>0.77961099109188314</v>
      </c>
      <c r="C16" s="1"/>
      <c r="D16" s="4"/>
      <c r="E16" s="1"/>
      <c r="G16" s="4"/>
      <c r="H16" s="4"/>
      <c r="I16" s="1">
        <f t="shared" si="9"/>
        <v>5.1823379892293806</v>
      </c>
      <c r="K16" s="5" t="s">
        <v>3</v>
      </c>
      <c r="M16" s="1">
        <f t="shared" si="0"/>
        <v>0.63818158116890866</v>
      </c>
      <c r="N16" s="1">
        <f t="shared" si="1"/>
        <v>1.4321202094865821</v>
      </c>
      <c r="O16" s="1">
        <f t="shared" si="2"/>
        <v>1.0128259879509833</v>
      </c>
      <c r="P16" s="1">
        <f t="shared" si="3"/>
        <v>1.2152635182120441</v>
      </c>
      <c r="R16" s="21">
        <f t="shared" si="10"/>
        <v>0.63818158116890866</v>
      </c>
      <c r="S16" s="21">
        <f t="shared" si="11"/>
        <v>1.4321202094865821</v>
      </c>
      <c r="T16" s="21">
        <f t="shared" si="12"/>
        <v>1.0128259879509833</v>
      </c>
      <c r="U16" s="21">
        <f t="shared" si="13"/>
        <v>1.2152635182120441</v>
      </c>
      <c r="Y16" s="21">
        <f t="shared" si="14"/>
        <v>5.1875892790882325</v>
      </c>
      <c r="Z16" s="21">
        <f t="shared" si="15"/>
        <v>5.1875892790882325</v>
      </c>
      <c r="AB16" s="21">
        <f t="shared" si="4"/>
        <v>-5.2512898588519263E-3</v>
      </c>
      <c r="AD16" s="1">
        <f t="shared" si="16"/>
        <v>5.5090347056485624E-5</v>
      </c>
      <c r="AE16" s="1">
        <f t="shared" si="5"/>
        <v>4.2949040068302563E-5</v>
      </c>
      <c r="AF16" s="1">
        <f t="shared" si="17"/>
        <v>3.8880547336431637E-5</v>
      </c>
      <c r="AG16" s="1">
        <f t="shared" si="6"/>
        <v>3.0311702043150347E-5</v>
      </c>
      <c r="AH16" s="1">
        <f t="shared" si="18"/>
        <v>6.710946163909827E-5</v>
      </c>
      <c r="AI16" s="1">
        <f t="shared" si="7"/>
        <v>5.2319273900100115E-5</v>
      </c>
      <c r="AJ16" s="1">
        <f t="shared" si="19"/>
        <v>4.2509017561126526E-5</v>
      </c>
      <c r="AK16" s="1">
        <f t="shared" si="8"/>
        <v>3.3140497311172119E-5</v>
      </c>
      <c r="AL16" s="1">
        <f t="shared" si="20"/>
        <v>5.1483233910313002E-5</v>
      </c>
      <c r="AM16" s="1">
        <f t="shared" si="21"/>
        <v>3.285565162057233E-5</v>
      </c>
      <c r="AN16" s="1">
        <f t="shared" si="22"/>
        <v>7.3730179732684167E-5</v>
      </c>
      <c r="AO16" s="1">
        <f t="shared" si="23"/>
        <v>5.2143557248124332E-5</v>
      </c>
      <c r="AP16" s="1">
        <f t="shared" si="24"/>
        <v>6.2565695970780594E-5</v>
      </c>
      <c r="AT16" s="54" t="s">
        <v>52</v>
      </c>
      <c r="AU16" s="55"/>
    </row>
    <row r="17" spans="2:58" x14ac:dyDescent="0.3">
      <c r="B17" s="1">
        <v>0.85535260435683891</v>
      </c>
      <c r="C17" s="1"/>
      <c r="D17" s="4"/>
      <c r="E17" s="1"/>
      <c r="G17" s="4"/>
      <c r="H17" s="4"/>
      <c r="I17" s="1">
        <f t="shared" si="9"/>
        <v>5.219488423334008</v>
      </c>
      <c r="K17" s="24">
        <f>+$AW$14</f>
        <v>0.44240052016672515</v>
      </c>
      <c r="M17" s="1">
        <f t="shared" si="0"/>
        <v>0.66121293101505596</v>
      </c>
      <c r="N17" s="1">
        <f t="shared" si="1"/>
        <v>1.4656283385932656</v>
      </c>
      <c r="O17" s="1">
        <f t="shared" si="2"/>
        <v>0.98704282308549951</v>
      </c>
      <c r="P17" s="1">
        <f t="shared" si="3"/>
        <v>1.2228140358092197</v>
      </c>
      <c r="R17" s="21">
        <f t="shared" si="10"/>
        <v>0.66121293101505596</v>
      </c>
      <c r="S17" s="21">
        <f t="shared" si="11"/>
        <v>1.4656283385932656</v>
      </c>
      <c r="T17" s="21">
        <f t="shared" si="12"/>
        <v>0.98704282308549951</v>
      </c>
      <c r="U17" s="21">
        <f t="shared" si="13"/>
        <v>1.2228140358092197</v>
      </c>
      <c r="Y17" s="21">
        <f t="shared" si="14"/>
        <v>5.210165371137446</v>
      </c>
      <c r="Z17" s="21">
        <f t="shared" si="15"/>
        <v>5.210165371137446</v>
      </c>
      <c r="AB17" s="21">
        <f t="shared" si="4"/>
        <v>9.3230521965619317E-3</v>
      </c>
      <c r="AD17" s="1">
        <f t="shared" si="16"/>
        <v>-9.7806480872228313E-5</v>
      </c>
      <c r="AE17" s="1">
        <f t="shared" si="5"/>
        <v>-8.3659028137037832E-5</v>
      </c>
      <c r="AF17" s="1">
        <f t="shared" si="17"/>
        <v>-6.9027873530427857E-5</v>
      </c>
      <c r="AG17" s="1">
        <f t="shared" si="6"/>
        <v>-5.9043171397465973E-5</v>
      </c>
      <c r="AH17" s="1">
        <f t="shared" si="18"/>
        <v>-1.1914501590305873E-4</v>
      </c>
      <c r="AI17" s="1">
        <f t="shared" si="7"/>
        <v>-1.0191099964881828E-4</v>
      </c>
      <c r="AJ17" s="1">
        <f t="shared" si="19"/>
        <v>-7.5469798887390925E-5</v>
      </c>
      <c r="AK17" s="1">
        <f t="shared" si="8"/>
        <v>-6.455328902861669E-5</v>
      </c>
      <c r="AL17" s="1">
        <f t="shared" si="20"/>
        <v>-9.1402472515313054E-5</v>
      </c>
      <c r="AM17" s="1">
        <f t="shared" si="21"/>
        <v>-6.043649675387324E-5</v>
      </c>
      <c r="AN17" s="1">
        <f t="shared" si="22"/>
        <v>-1.339620539359349E-4</v>
      </c>
      <c r="AO17" s="1">
        <f t="shared" si="23"/>
        <v>-9.0218154508509376E-5</v>
      </c>
      <c r="AP17" s="1">
        <f t="shared" si="24"/>
        <v>-1.1176822629939123E-4</v>
      </c>
      <c r="AT17" s="12" t="s">
        <v>39</v>
      </c>
      <c r="AU17" s="12" t="s">
        <v>40</v>
      </c>
      <c r="AV17" s="12" t="s">
        <v>41</v>
      </c>
      <c r="AW17" s="12" t="s">
        <v>42</v>
      </c>
      <c r="AX17" s="12" t="s">
        <v>44</v>
      </c>
      <c r="AY17" s="12" t="s">
        <v>43</v>
      </c>
      <c r="AZ17" s="12" t="s">
        <v>45</v>
      </c>
      <c r="BA17" s="12" t="s">
        <v>46</v>
      </c>
      <c r="BB17" s="12" t="s">
        <v>47</v>
      </c>
      <c r="BC17" s="12" t="s">
        <v>48</v>
      </c>
      <c r="BD17" s="12" t="s">
        <v>49</v>
      </c>
      <c r="BE17" s="12" t="s">
        <v>50</v>
      </c>
      <c r="BF17" s="12" t="s">
        <v>51</v>
      </c>
    </row>
    <row r="18" spans="2:58" x14ac:dyDescent="0.3">
      <c r="B18" s="1">
        <v>0.8914723262286729</v>
      </c>
      <c r="C18" s="1"/>
      <c r="D18" s="4"/>
      <c r="E18" s="1"/>
      <c r="G18" s="4"/>
      <c r="H18" s="4"/>
      <c r="I18" s="1">
        <f t="shared" si="9"/>
        <v>5.2384168725294682</v>
      </c>
      <c r="M18" s="1">
        <f t="shared" si="0"/>
        <v>0.67219613978122894</v>
      </c>
      <c r="N18" s="1">
        <f t="shared" si="1"/>
        <v>1.4816077223376423</v>
      </c>
      <c r="O18" s="1">
        <f t="shared" si="2"/>
        <v>0.97474732654439533</v>
      </c>
      <c r="P18" s="1">
        <f t="shared" si="3"/>
        <v>1.2264147327556174</v>
      </c>
      <c r="R18" s="21">
        <f t="shared" si="10"/>
        <v>0.67219613978122894</v>
      </c>
      <c r="S18" s="21">
        <f t="shared" si="11"/>
        <v>1.4816077223376423</v>
      </c>
      <c r="T18" s="21">
        <f t="shared" si="12"/>
        <v>0.97474732654439533</v>
      </c>
      <c r="U18" s="21">
        <f t="shared" si="13"/>
        <v>1.2264147327556174</v>
      </c>
      <c r="Y18" s="21">
        <f t="shared" si="14"/>
        <v>5.2209314761967356</v>
      </c>
      <c r="Z18" s="21">
        <f t="shared" si="15"/>
        <v>5.2209314761967356</v>
      </c>
      <c r="AB18" s="21">
        <f t="shared" si="4"/>
        <v>1.7485396332732606E-2</v>
      </c>
      <c r="AD18" s="1">
        <f t="shared" si="16"/>
        <v>-1.8343618011614358E-4</v>
      </c>
      <c r="AE18" s="1">
        <f t="shared" si="5"/>
        <v>-1.6352827820264034E-4</v>
      </c>
      <c r="AF18" s="1">
        <f t="shared" si="17"/>
        <v>-1.2946186519586063E-4</v>
      </c>
      <c r="AG18" s="1">
        <f t="shared" si="6"/>
        <v>-1.1541167012405675E-4</v>
      </c>
      <c r="AH18" s="1">
        <f t="shared" si="18"/>
        <v>-2.2345662989025958E-4</v>
      </c>
      <c r="AI18" s="1">
        <f t="shared" si="7"/>
        <v>-1.9920540165948929E-4</v>
      </c>
      <c r="AJ18" s="1">
        <f t="shared" si="19"/>
        <v>-1.4154370445166974E-4</v>
      </c>
      <c r="AK18" s="1">
        <f t="shared" si="8"/>
        <v>-1.2618229547055378E-4</v>
      </c>
      <c r="AL18" s="1">
        <f t="shared" si="20"/>
        <v>-1.7142545424247651E-4</v>
      </c>
      <c r="AM18" s="1">
        <f t="shared" si="21"/>
        <v>-1.1523152860203641E-4</v>
      </c>
      <c r="AN18" s="1">
        <f t="shared" si="22"/>
        <v>-2.5398527681089135E-4</v>
      </c>
      <c r="AO18" s="1">
        <f t="shared" si="23"/>
        <v>-1.6709650322451256E-4</v>
      </c>
      <c r="AP18" s="1">
        <f t="shared" si="24"/>
        <v>-2.1023870265229715E-4</v>
      </c>
      <c r="AT18" s="22">
        <f>+AT14-$AT$10*AT8</f>
        <v>0.4011191189039498</v>
      </c>
      <c r="AU18" s="2">
        <f t="shared" ref="AU18:AV18" si="26">+AU14-$AT$10*AU8</f>
        <v>0.30407787576270362</v>
      </c>
      <c r="AV18" s="2">
        <f t="shared" si="26"/>
        <v>1.0872199028344347</v>
      </c>
      <c r="AW18" s="2">
        <f>+AW14-$AT$10*AW8</f>
        <v>0.4424005110565315</v>
      </c>
      <c r="AX18" s="2">
        <f t="shared" ref="AX18:BF18" si="27">+AX14-$AT$10*AX8</f>
        <v>1.2782129796225989</v>
      </c>
      <c r="AY18" s="2">
        <f t="shared" si="27"/>
        <v>-0.3404095178999591</v>
      </c>
      <c r="AZ18" s="2">
        <f t="shared" si="27"/>
        <v>1.1375457862688283</v>
      </c>
      <c r="BA18" s="2">
        <f>+BA14-$AT$10*BA8</f>
        <v>9.9687827038311527E-2</v>
      </c>
      <c r="BB18" s="2">
        <f t="shared" si="27"/>
        <v>1.0994792025869111</v>
      </c>
      <c r="BC18" s="2">
        <f t="shared" si="27"/>
        <v>1.070063838648964</v>
      </c>
      <c r="BD18" s="2">
        <f t="shared" si="27"/>
        <v>0.75520794261539692</v>
      </c>
      <c r="BE18" s="2">
        <f t="shared" si="27"/>
        <v>1.3035207167388014</v>
      </c>
      <c r="BF18" s="2">
        <f t="shared" si="27"/>
        <v>0.82568662405247339</v>
      </c>
    </row>
    <row r="19" spans="2:58" x14ac:dyDescent="0.3">
      <c r="B19" s="1">
        <v>0.94121683095456721</v>
      </c>
      <c r="C19" s="1"/>
      <c r="D19" s="4"/>
      <c r="E19" s="1"/>
      <c r="G19" s="4"/>
      <c r="H19" s="4"/>
      <c r="I19" s="1">
        <f t="shared" si="9"/>
        <v>5.2657667368616474</v>
      </c>
      <c r="M19" s="1">
        <f t="shared" si="0"/>
        <v>0.68732234375126611</v>
      </c>
      <c r="N19" s="1">
        <f t="shared" si="1"/>
        <v>1.5036147171038141</v>
      </c>
      <c r="O19" s="1">
        <f t="shared" si="2"/>
        <v>0.95781382445469276</v>
      </c>
      <c r="P19" s="1">
        <f t="shared" si="3"/>
        <v>1.2313736548343135</v>
      </c>
      <c r="R19" s="21">
        <f t="shared" si="10"/>
        <v>0.68732234375126611</v>
      </c>
      <c r="S19" s="21">
        <f t="shared" si="11"/>
        <v>1.5036147171038141</v>
      </c>
      <c r="T19" s="21">
        <f t="shared" si="12"/>
        <v>0.95781382445469276</v>
      </c>
      <c r="U19" s="21">
        <f t="shared" si="13"/>
        <v>1.2313736548343135</v>
      </c>
      <c r="Y19" s="21">
        <f t="shared" si="14"/>
        <v>5.2357586823945468</v>
      </c>
      <c r="Z19" s="21">
        <f t="shared" si="15"/>
        <v>5.2357586823945468</v>
      </c>
      <c r="AB19" s="21">
        <f t="shared" si="4"/>
        <v>3.0008054467100642E-2</v>
      </c>
      <c r="AD19" s="1">
        <f t="shared" si="16"/>
        <v>-3.1480915727701274E-4</v>
      </c>
      <c r="AE19" s="1">
        <f t="shared" si="5"/>
        <v>-2.9630367736774787E-4</v>
      </c>
      <c r="AF19" s="1">
        <f t="shared" si="17"/>
        <v>-2.2217961939686258E-4</v>
      </c>
      <c r="AG19" s="1">
        <f t="shared" si="6"/>
        <v>-2.0911919727140688E-4</v>
      </c>
      <c r="AH19" s="1">
        <f t="shared" si="18"/>
        <v>-3.83491377214538E-4</v>
      </c>
      <c r="AI19" s="1">
        <f t="shared" si="7"/>
        <v>-3.6094853876027E-4</v>
      </c>
      <c r="AJ19" s="1">
        <f t="shared" si="19"/>
        <v>-2.4291420748122746E-4</v>
      </c>
      <c r="AK19" s="1">
        <f t="shared" si="8"/>
        <v>-2.2863494055932112E-4</v>
      </c>
      <c r="AL19" s="1">
        <f t="shared" si="20"/>
        <v>-2.9419661242255531E-4</v>
      </c>
      <c r="AM19" s="1">
        <f t="shared" si="21"/>
        <v>-2.0220790517395357E-4</v>
      </c>
      <c r="AN19" s="1">
        <f t="shared" si="22"/>
        <v>-4.4235835616064092E-4</v>
      </c>
      <c r="AO19" s="1">
        <f t="shared" si="23"/>
        <v>-2.8178558248606269E-4</v>
      </c>
      <c r="AP19" s="1">
        <f t="shared" si="24"/>
        <v>-3.6226595787863591E-4</v>
      </c>
      <c r="AT19" s="4"/>
      <c r="AU19" s="4"/>
      <c r="AV19" s="4"/>
      <c r="AW19" s="4"/>
      <c r="AX19" s="4"/>
      <c r="AY19" s="4"/>
      <c r="AZ19" s="4"/>
      <c r="BA19" s="4"/>
      <c r="BB19" s="4"/>
      <c r="BC19" s="4"/>
      <c r="BD19" s="4"/>
    </row>
    <row r="20" spans="2:58" x14ac:dyDescent="0.3">
      <c r="B20" s="1">
        <v>0.74062954206074294</v>
      </c>
      <c r="C20" s="1"/>
      <c r="D20" s="4"/>
      <c r="E20" s="1"/>
      <c r="G20" s="4"/>
      <c r="H20" s="4"/>
      <c r="I20" s="1">
        <f t="shared" si="9"/>
        <v>5.1645596355719317</v>
      </c>
      <c r="K20" s="5" t="s">
        <v>67</v>
      </c>
      <c r="M20" s="1">
        <f t="shared" si="0"/>
        <v>0.62632818445018135</v>
      </c>
      <c r="N20" s="1">
        <f t="shared" si="1"/>
        <v>1.414874796158353</v>
      </c>
      <c r="O20" s="1">
        <f t="shared" si="2"/>
        <v>1.0260956436097488</v>
      </c>
      <c r="P20" s="1">
        <f t="shared" si="3"/>
        <v>1.2113775418750548</v>
      </c>
      <c r="R20" s="21">
        <f t="shared" si="10"/>
        <v>0.62632818445018135</v>
      </c>
      <c r="S20" s="21">
        <f t="shared" si="11"/>
        <v>1.414874796158353</v>
      </c>
      <c r="T20" s="21">
        <f t="shared" si="12"/>
        <v>1.0260956436097488</v>
      </c>
      <c r="U20" s="21">
        <f t="shared" si="13"/>
        <v>1.2113775418750548</v>
      </c>
      <c r="Y20" s="21">
        <f t="shared" si="14"/>
        <v>5.1759701869722479</v>
      </c>
      <c r="Z20" s="21">
        <f t="shared" si="15"/>
        <v>5.1759701869722479</v>
      </c>
      <c r="AB20" s="21">
        <f t="shared" si="4"/>
        <v>-1.1410551400316216E-2</v>
      </c>
      <c r="AD20" s="1">
        <f t="shared" si="16"/>
        <v>1.1970606339500743E-4</v>
      </c>
      <c r="AE20" s="1">
        <f t="shared" si="5"/>
        <v>8.865784691413862E-5</v>
      </c>
      <c r="AF20" s="1">
        <f t="shared" si="17"/>
        <v>8.4483716530508643E-5</v>
      </c>
      <c r="AG20" s="1">
        <f t="shared" si="6"/>
        <v>6.2571136285580241E-5</v>
      </c>
      <c r="AH20" s="1">
        <f t="shared" si="18"/>
        <v>1.458224516381762E-4</v>
      </c>
      <c r="AI20" s="1">
        <f t="shared" si="7"/>
        <v>1.0800041557895727E-4</v>
      </c>
      <c r="AJ20" s="1">
        <f t="shared" si="19"/>
        <v>9.2368035834194872E-5</v>
      </c>
      <c r="AK20" s="1">
        <f t="shared" si="8"/>
        <v>6.8410496080930042E-5</v>
      </c>
      <c r="AL20" s="1">
        <f t="shared" si="20"/>
        <v>1.118681509834923E-4</v>
      </c>
      <c r="AM20" s="1">
        <f t="shared" si="21"/>
        <v>7.006617590328951E-5</v>
      </c>
      <c r="AN20" s="1">
        <f t="shared" si="22"/>
        <v>1.5827942731938053E-4</v>
      </c>
      <c r="AO20" s="1">
        <f t="shared" si="23"/>
        <v>1.1478742238283908E-4</v>
      </c>
      <c r="AP20" s="1">
        <f t="shared" si="24"/>
        <v>1.3551456575249039E-4</v>
      </c>
      <c r="AT20" s="4"/>
      <c r="AU20" s="4"/>
      <c r="AV20" s="4"/>
      <c r="AW20" s="4"/>
      <c r="AX20" s="4"/>
      <c r="AY20" s="4"/>
      <c r="AZ20" s="4"/>
      <c r="BA20" s="4"/>
      <c r="BB20" s="4"/>
      <c r="BC20" s="4"/>
      <c r="BD20" s="4"/>
    </row>
    <row r="21" spans="2:58" x14ac:dyDescent="0.3">
      <c r="B21" s="1">
        <v>0.63862993795714829</v>
      </c>
      <c r="C21" s="1"/>
      <c r="D21" s="4"/>
      <c r="E21" s="1"/>
      <c r="G21" s="4"/>
      <c r="H21" s="4"/>
      <c r="I21" s="1">
        <f t="shared" si="9"/>
        <v>5.1223544592965453</v>
      </c>
      <c r="K21" s="5" t="s">
        <v>28</v>
      </c>
      <c r="M21" s="1">
        <f t="shared" si="0"/>
        <v>0.59531236018907685</v>
      </c>
      <c r="N21" s="1">
        <f t="shared" si="1"/>
        <v>1.3697501182461227</v>
      </c>
      <c r="O21" s="1">
        <f t="shared" si="2"/>
        <v>1.0608172780647394</v>
      </c>
      <c r="P21" s="1">
        <f t="shared" si="3"/>
        <v>1.2012094219672436</v>
      </c>
      <c r="R21" s="21">
        <f t="shared" si="10"/>
        <v>0.59531236018907685</v>
      </c>
      <c r="S21" s="21">
        <f t="shared" si="11"/>
        <v>1.3697501182461227</v>
      </c>
      <c r="T21" s="21">
        <f t="shared" si="12"/>
        <v>1.0608172780647394</v>
      </c>
      <c r="U21" s="21">
        <f t="shared" si="13"/>
        <v>1.2012094219672436</v>
      </c>
      <c r="Y21" s="21">
        <f t="shared" si="14"/>
        <v>5.1455674486100378</v>
      </c>
      <c r="Z21" s="21">
        <f t="shared" si="15"/>
        <v>5.1455674486100378</v>
      </c>
      <c r="AB21" s="21">
        <f t="shared" si="4"/>
        <v>-2.3212989313492471E-2</v>
      </c>
      <c r="AD21" s="1">
        <f t="shared" si="16"/>
        <v>2.4352333843144109E-4</v>
      </c>
      <c r="AE21" s="1">
        <f t="shared" si="5"/>
        <v>1.5552129451358885E-4</v>
      </c>
      <c r="AF21" s="1">
        <f t="shared" si="17"/>
        <v>1.7186896059488211E-4</v>
      </c>
      <c r="AG21" s="1">
        <f t="shared" si="6"/>
        <v>1.0976066364146912E-4</v>
      </c>
      <c r="AH21" s="1">
        <f t="shared" si="18"/>
        <v>2.9665306195899091E-4</v>
      </c>
      <c r="AI21" s="1">
        <f t="shared" si="7"/>
        <v>1.8945152655366844E-4</v>
      </c>
      <c r="AJ21" s="1">
        <f t="shared" si="19"/>
        <v>1.8790838001641496E-4</v>
      </c>
      <c r="AK21" s="1">
        <f t="shared" si="8"/>
        <v>1.2000391707151132E-4</v>
      </c>
      <c r="AL21" s="1">
        <f t="shared" si="20"/>
        <v>2.2757832660286737E-4</v>
      </c>
      <c r="AM21" s="1">
        <f t="shared" si="21"/>
        <v>1.3548019073783356E-4</v>
      </c>
      <c r="AN21" s="1">
        <f t="shared" si="22"/>
        <v>3.1172543977453233E-4</v>
      </c>
      <c r="AO21" s="1">
        <f t="shared" si="23"/>
        <v>2.4141902097338203E-4</v>
      </c>
      <c r="AP21" s="1">
        <f t="shared" si="24"/>
        <v>2.7336923015090287E-4</v>
      </c>
      <c r="AT21" s="4"/>
      <c r="AU21" s="4"/>
      <c r="AV21" s="4"/>
      <c r="AW21" s="4"/>
      <c r="AX21" s="4"/>
      <c r="AY21" s="4"/>
      <c r="AZ21" s="4"/>
      <c r="BA21" s="4"/>
      <c r="BB21" s="4"/>
      <c r="BC21" s="4"/>
      <c r="BD21" s="4"/>
    </row>
    <row r="22" spans="2:58" x14ac:dyDescent="0.3">
      <c r="B22" s="1">
        <v>0.78412304021807278</v>
      </c>
      <c r="C22" s="1"/>
      <c r="D22" s="4"/>
      <c r="E22" s="1"/>
      <c r="G22" s="4"/>
      <c r="H22" s="4"/>
      <c r="I22" s="1">
        <f t="shared" si="9"/>
        <v>5.1844546826602498</v>
      </c>
      <c r="K22" s="5" t="s">
        <v>2</v>
      </c>
      <c r="M22" s="1">
        <f t="shared" si="0"/>
        <v>0.63955359554078051</v>
      </c>
      <c r="N22" s="1">
        <f t="shared" si="1"/>
        <v>1.4341163423670262</v>
      </c>
      <c r="O22" s="1">
        <f t="shared" si="2"/>
        <v>1.0112900435541463</v>
      </c>
      <c r="P22" s="1">
        <f t="shared" si="3"/>
        <v>1.215713314629866</v>
      </c>
      <c r="R22" s="21">
        <f t="shared" si="10"/>
        <v>0.63955359554078051</v>
      </c>
      <c r="S22" s="21">
        <f t="shared" si="11"/>
        <v>1.4341163423670262</v>
      </c>
      <c r="T22" s="21">
        <f t="shared" si="12"/>
        <v>1.0112900435541463</v>
      </c>
      <c r="U22" s="21">
        <f t="shared" si="13"/>
        <v>1.215713314629866</v>
      </c>
      <c r="Y22" s="21">
        <f t="shared" si="14"/>
        <v>5.1889341730245038</v>
      </c>
      <c r="Z22" s="21">
        <f t="shared" si="15"/>
        <v>5.1889341730245038</v>
      </c>
      <c r="AB22" s="21">
        <f t="shared" si="4"/>
        <v>-4.4794903642539907E-3</v>
      </c>
      <c r="AD22" s="1">
        <f t="shared" si="16"/>
        <v>4.6993535957066287E-5</v>
      </c>
      <c r="AE22" s="1">
        <f t="shared" si="5"/>
        <v>3.6848714285252138E-5</v>
      </c>
      <c r="AF22" s="1">
        <f t="shared" si="17"/>
        <v>3.3166144286795064E-5</v>
      </c>
      <c r="AG22" s="1">
        <f t="shared" si="6"/>
        <v>2.6006337890473012E-5</v>
      </c>
      <c r="AH22" s="1">
        <f t="shared" si="18"/>
        <v>5.7246161389448864E-5</v>
      </c>
      <c r="AI22" s="1">
        <f t="shared" si="7"/>
        <v>4.4888034109509096E-5</v>
      </c>
      <c r="AJ22" s="1">
        <f t="shared" si="19"/>
        <v>3.6261326203120807E-5</v>
      </c>
      <c r="AK22" s="1">
        <f t="shared" si="8"/>
        <v>2.8433341344730354E-5</v>
      </c>
      <c r="AL22" s="1">
        <f t="shared" si="20"/>
        <v>4.3916572198568534E-5</v>
      </c>
      <c r="AM22" s="1">
        <f t="shared" si="21"/>
        <v>2.8087001653420785E-5</v>
      </c>
      <c r="AN22" s="1">
        <f t="shared" si="22"/>
        <v>6.2981473890708534E-5</v>
      </c>
      <c r="AO22" s="1">
        <f t="shared" si="23"/>
        <v>4.4412392211439183E-5</v>
      </c>
      <c r="AP22" s="1">
        <f t="shared" si="24"/>
        <v>5.338996155470357E-5</v>
      </c>
      <c r="AT22" s="4"/>
      <c r="AU22" s="4"/>
      <c r="AV22" s="4"/>
      <c r="AW22" s="4"/>
      <c r="AX22" s="4"/>
      <c r="AY22" s="4"/>
      <c r="AZ22" s="4"/>
      <c r="BA22" s="4"/>
      <c r="BB22" s="4"/>
      <c r="BC22" s="4"/>
      <c r="BD22" s="4"/>
    </row>
    <row r="23" spans="2:58" x14ac:dyDescent="0.3">
      <c r="B23" s="1">
        <v>0.59640661176298648</v>
      </c>
      <c r="C23" s="1"/>
      <c r="D23" s="4"/>
      <c r="E23" s="1"/>
      <c r="G23" s="4"/>
      <c r="H23" s="4"/>
      <c r="I23" s="1">
        <f t="shared" si="9"/>
        <v>5.1067102539663818</v>
      </c>
      <c r="K23" s="24">
        <f>+$AX$14</f>
        <v>1.2782129773190269</v>
      </c>
      <c r="M23" s="1">
        <f t="shared" si="0"/>
        <v>0.5824731803072869</v>
      </c>
      <c r="N23" s="1">
        <f t="shared" si="1"/>
        <v>1.3510704967746563</v>
      </c>
      <c r="O23" s="1">
        <f t="shared" si="2"/>
        <v>1.0751904995146828</v>
      </c>
      <c r="P23" s="1">
        <f t="shared" si="3"/>
        <v>1.1970002699080571</v>
      </c>
      <c r="R23" s="21">
        <f t="shared" si="10"/>
        <v>0.5824731803072869</v>
      </c>
      <c r="S23" s="21">
        <f t="shared" si="11"/>
        <v>1.3510704967746563</v>
      </c>
      <c r="T23" s="21">
        <f t="shared" si="12"/>
        <v>1.0751904995146828</v>
      </c>
      <c r="U23" s="21">
        <f t="shared" si="13"/>
        <v>1.1970002699080571</v>
      </c>
      <c r="W23" t="s">
        <v>8</v>
      </c>
      <c r="Y23" s="21">
        <f t="shared" si="14"/>
        <v>5.1329820591828437</v>
      </c>
      <c r="Z23" s="21">
        <f t="shared" si="15"/>
        <v>5.1329820591828437</v>
      </c>
      <c r="AB23" s="21">
        <f t="shared" si="4"/>
        <v>-2.6271805216461885E-2</v>
      </c>
      <c r="AD23" s="1">
        <f t="shared" si="16"/>
        <v>2.7561283152853776E-4</v>
      </c>
      <c r="AE23" s="1">
        <f t="shared" si="5"/>
        <v>1.6437731501033802E-4</v>
      </c>
      <c r="AF23" s="1">
        <f t="shared" si="17"/>
        <v>1.9451643192201871E-4</v>
      </c>
      <c r="AG23" s="1">
        <f t="shared" si="6"/>
        <v>1.160108860948368E-4</v>
      </c>
      <c r="AH23" s="1">
        <f t="shared" si="18"/>
        <v>3.3574355096625141E-4</v>
      </c>
      <c r="AI23" s="1">
        <f t="shared" si="7"/>
        <v>2.0023967365305557E-4</v>
      </c>
      <c r="AJ23" s="1">
        <f t="shared" si="19"/>
        <v>2.1266939348749527E-4</v>
      </c>
      <c r="AK23" s="1">
        <f t="shared" si="8"/>
        <v>1.2683743239556641E-4</v>
      </c>
      <c r="AL23" s="1">
        <f t="shared" si="20"/>
        <v>2.5756671780844987E-4</v>
      </c>
      <c r="AM23" s="1">
        <f t="shared" si="21"/>
        <v>1.5002570526319729E-4</v>
      </c>
      <c r="AN23" s="1">
        <f t="shared" si="22"/>
        <v>3.4799079338208009E-4</v>
      </c>
      <c r="AO23" s="1">
        <f t="shared" si="23"/>
        <v>2.7693328797882458E-4</v>
      </c>
      <c r="AP23" s="1">
        <f t="shared" si="24"/>
        <v>3.0830743073604689E-4</v>
      </c>
    </row>
    <row r="24" spans="2:58" x14ac:dyDescent="0.3">
      <c r="B24" s="1">
        <v>0.93063120569316815</v>
      </c>
      <c r="C24" s="1"/>
      <c r="D24" s="4"/>
      <c r="E24" s="1"/>
      <c r="G24" s="4"/>
      <c r="H24" s="4"/>
      <c r="I24" s="1">
        <f t="shared" si="9"/>
        <v>5.259822332302976</v>
      </c>
      <c r="K24" s="5" t="s">
        <v>3</v>
      </c>
      <c r="M24" s="1">
        <f t="shared" si="0"/>
        <v>0.68410348917151698</v>
      </c>
      <c r="N24" s="1">
        <f t="shared" si="1"/>
        <v>1.4989316309818812</v>
      </c>
      <c r="O24" s="1">
        <f t="shared" si="2"/>
        <v>0.9614172718801407</v>
      </c>
      <c r="P24" s="1">
        <f t="shared" si="3"/>
        <v>1.2303183967487259</v>
      </c>
      <c r="R24" s="21">
        <f t="shared" si="10"/>
        <v>0.68410348917151698</v>
      </c>
      <c r="S24" s="21">
        <f t="shared" si="11"/>
        <v>1.4989316309818812</v>
      </c>
      <c r="T24" s="21">
        <f t="shared" si="12"/>
        <v>0.9614172718801407</v>
      </c>
      <c r="U24" s="21">
        <f t="shared" si="13"/>
        <v>1.2303183967487259</v>
      </c>
      <c r="Y24" s="21">
        <f t="shared" si="14"/>
        <v>5.2326034545086042</v>
      </c>
      <c r="Z24" s="21">
        <f t="shared" si="15"/>
        <v>5.2326034545086042</v>
      </c>
      <c r="AB24" s="21">
        <f t="shared" si="4"/>
        <v>2.7218877794371821E-2</v>
      </c>
      <c r="AD24" s="1">
        <f t="shared" si="16"/>
        <v>-2.8554840134226454E-4</v>
      </c>
      <c r="AE24" s="1">
        <f t="shared" si="5"/>
        <v>-2.657402530249083E-4</v>
      </c>
      <c r="AF24" s="1">
        <f t="shared" si="17"/>
        <v>-2.0152855678775864E-4</v>
      </c>
      <c r="AG24" s="1">
        <f t="shared" si="6"/>
        <v>-1.8754876378499592E-4</v>
      </c>
      <c r="AH24" s="1">
        <f t="shared" si="18"/>
        <v>-3.4784677370676572E-4</v>
      </c>
      <c r="AI24" s="1">
        <f t="shared" si="7"/>
        <v>-3.2371706241120598E-4</v>
      </c>
      <c r="AJ24" s="1">
        <f t="shared" si="19"/>
        <v>-2.2033591465241844E-4</v>
      </c>
      <c r="AK24" s="1">
        <f t="shared" si="8"/>
        <v>-2.0505147791048718E-4</v>
      </c>
      <c r="AL24" s="1">
        <f t="shared" si="20"/>
        <v>-2.6685174308207669E-4</v>
      </c>
      <c r="AM24" s="1">
        <f t="shared" si="21"/>
        <v>-1.8255420853394987E-4</v>
      </c>
      <c r="AN24" s="1">
        <f t="shared" si="22"/>
        <v>-3.9999251848837512E-4</v>
      </c>
      <c r="AO24" s="1">
        <f t="shared" si="23"/>
        <v>-2.5655587483043037E-4</v>
      </c>
      <c r="AP24" s="1">
        <f t="shared" si="24"/>
        <v>-3.2831260871834351E-4</v>
      </c>
      <c r="AT24" s="34"/>
      <c r="AU24" s="34"/>
      <c r="AV24" s="34"/>
      <c r="AW24" s="34"/>
      <c r="AX24" s="34"/>
      <c r="AY24" s="34"/>
      <c r="AZ24" s="34"/>
    </row>
    <row r="25" spans="2:58" x14ac:dyDescent="0.3">
      <c r="B25" s="1">
        <v>0.98333800915591663</v>
      </c>
      <c r="C25" s="1"/>
      <c r="D25" s="4"/>
      <c r="E25" s="1"/>
      <c r="G25" s="4"/>
      <c r="H25" s="4"/>
      <c r="I25" s="1">
        <f t="shared" si="9"/>
        <v>5.2900860920752164</v>
      </c>
      <c r="K25" s="25">
        <f>+$AY$14</f>
        <v>-0.3404095021753813</v>
      </c>
      <c r="M25" s="1">
        <f t="shared" si="0"/>
        <v>0.70013046268706969</v>
      </c>
      <c r="N25" s="1">
        <f t="shared" si="1"/>
        <v>1.5222491482501264</v>
      </c>
      <c r="O25" s="1">
        <f t="shared" si="2"/>
        <v>0.94347537515213076</v>
      </c>
      <c r="P25" s="1">
        <f t="shared" si="3"/>
        <v>1.235572623981043</v>
      </c>
      <c r="R25" s="21">
        <f t="shared" si="10"/>
        <v>0.70013046268706969</v>
      </c>
      <c r="S25" s="21">
        <f t="shared" si="11"/>
        <v>1.5222491482501264</v>
      </c>
      <c r="T25" s="21">
        <f t="shared" si="12"/>
        <v>0.94347537515213076</v>
      </c>
      <c r="U25" s="21">
        <f t="shared" si="13"/>
        <v>1.235572623981043</v>
      </c>
      <c r="Y25" s="21">
        <f t="shared" si="14"/>
        <v>5.2483136248535676</v>
      </c>
      <c r="Z25" s="21">
        <f t="shared" si="15"/>
        <v>5.2483136248535676</v>
      </c>
      <c r="AB25" s="21">
        <f t="shared" si="4"/>
        <v>4.1772467221648846E-2</v>
      </c>
      <c r="AD25" s="1">
        <f t="shared" si="16"/>
        <v>-4.3822751714364937E-4</v>
      </c>
      <c r="AE25" s="1">
        <f t="shared" si="5"/>
        <v>-4.309257742653765E-4</v>
      </c>
      <c r="AF25" s="1">
        <f t="shared" si="17"/>
        <v>-3.0928332520687341E-4</v>
      </c>
      <c r="AG25" s="1">
        <f t="shared" si="6"/>
        <v>-3.0413004927404882E-4</v>
      </c>
      <c r="AH25" s="1">
        <f t="shared" si="18"/>
        <v>-5.3383604065508899E-4</v>
      </c>
      <c r="AI25" s="1">
        <f t="shared" si="7"/>
        <v>-5.2494126943345213E-4</v>
      </c>
      <c r="AJ25" s="1">
        <f t="shared" si="19"/>
        <v>-3.3814673926319319E-4</v>
      </c>
      <c r="AK25" s="1">
        <f t="shared" si="8"/>
        <v>-3.3251254138963324E-4</v>
      </c>
      <c r="AL25" s="1">
        <f t="shared" si="20"/>
        <v>-4.0953399236910633E-4</v>
      </c>
      <c r="AM25" s="1">
        <f t="shared" si="21"/>
        <v>-2.8672722356346529E-4</v>
      </c>
      <c r="AN25" s="1">
        <f t="shared" si="22"/>
        <v>-6.2341277106334582E-4</v>
      </c>
      <c r="AO25" s="1">
        <f t="shared" si="23"/>
        <v>-3.8638523708799246E-4</v>
      </c>
      <c r="AP25" s="1">
        <f t="shared" si="24"/>
        <v>-5.0600898956092914E-4</v>
      </c>
      <c r="AT25" s="34"/>
      <c r="AU25" s="34"/>
      <c r="AV25" s="34"/>
      <c r="AW25" s="34"/>
      <c r="AX25" s="34"/>
      <c r="AY25" s="34"/>
      <c r="AZ25" s="34"/>
    </row>
    <row r="26" spans="2:58" x14ac:dyDescent="0.3">
      <c r="B26" s="1">
        <v>0.22725558552392522</v>
      </c>
      <c r="C26" s="1"/>
      <c r="D26" s="4"/>
      <c r="E26" s="1"/>
      <c r="G26" s="4"/>
      <c r="H26" s="4"/>
      <c r="I26" s="1">
        <f t="shared" si="9"/>
        <v>5.0154935303455463</v>
      </c>
      <c r="M26" s="1">
        <f t="shared" si="0"/>
        <v>0.4702225156477603</v>
      </c>
      <c r="N26" s="1">
        <f t="shared" si="1"/>
        <v>1.1877578907464152</v>
      </c>
      <c r="O26" s="1">
        <f t="shared" si="2"/>
        <v>1.2008530165842528</v>
      </c>
      <c r="P26" s="1">
        <f t="shared" si="3"/>
        <v>1.1602004025764343</v>
      </c>
      <c r="R26" s="21">
        <f t="shared" si="10"/>
        <v>0.4702225156477603</v>
      </c>
      <c r="S26" s="21">
        <f t="shared" si="11"/>
        <v>1.1877578907464152</v>
      </c>
      <c r="T26" s="21">
        <f t="shared" si="12"/>
        <v>1.2008530165842528</v>
      </c>
      <c r="U26" s="21">
        <f t="shared" si="13"/>
        <v>1.1602004025764343</v>
      </c>
      <c r="Y26" s="21">
        <f t="shared" si="14"/>
        <v>5.0229502392996137</v>
      </c>
      <c r="Z26" s="21">
        <f t="shared" si="15"/>
        <v>5.0229502392996137</v>
      </c>
      <c r="AB26" s="21">
        <f t="shared" si="4"/>
        <v>-7.4567089540673592E-3</v>
      </c>
      <c r="AD26" s="1">
        <f t="shared" si="16"/>
        <v>7.8227006168077925E-5</v>
      </c>
      <c r="AE26" s="1">
        <f t="shared" si="5"/>
        <v>1.7777524090510257E-5</v>
      </c>
      <c r="AF26" s="1">
        <f t="shared" si="17"/>
        <v>5.5209469150498221E-5</v>
      </c>
      <c r="AG26" s="1">
        <f t="shared" si="6"/>
        <v>1.2546660238261559E-5</v>
      </c>
      <c r="AH26" s="1">
        <f t="shared" si="18"/>
        <v>9.52938681652413E-5</v>
      </c>
      <c r="AI26" s="1">
        <f t="shared" si="7"/>
        <v>2.1656063806731648E-5</v>
      </c>
      <c r="AJ26" s="1">
        <f t="shared" si="19"/>
        <v>6.0361812125518162E-5</v>
      </c>
      <c r="AK26" s="1">
        <f t="shared" si="8"/>
        <v>1.3717558957869799E-5</v>
      </c>
      <c r="AL26" s="1">
        <f t="shared" si="20"/>
        <v>7.3104989745758424E-5</v>
      </c>
      <c r="AM26" s="1">
        <f t="shared" si="21"/>
        <v>3.4375612184654249E-5</v>
      </c>
      <c r="AN26" s="1">
        <f t="shared" si="22"/>
        <v>8.6831028423460345E-5</v>
      </c>
      <c r="AO26" s="1">
        <f t="shared" si="23"/>
        <v>8.778834746355487E-5</v>
      </c>
      <c r="AP26" s="1">
        <f t="shared" si="24"/>
        <v>8.4816438533375028E-5</v>
      </c>
    </row>
    <row r="27" spans="2:58" x14ac:dyDescent="0.3">
      <c r="B27" s="1">
        <v>0.56915696250592696</v>
      </c>
      <c r="C27" s="1"/>
      <c r="D27" s="4"/>
      <c r="E27" s="1"/>
      <c r="G27" s="4"/>
      <c r="H27" s="4"/>
      <c r="I27" s="1">
        <f t="shared" si="9"/>
        <v>5.0971818943906921</v>
      </c>
      <c r="M27" s="1">
        <f t="shared" si="0"/>
        <v>0.57418716449417351</v>
      </c>
      <c r="N27" s="1">
        <f t="shared" si="1"/>
        <v>1.3390152377689724</v>
      </c>
      <c r="O27" s="1">
        <f t="shared" si="2"/>
        <v>1.0844665390527322</v>
      </c>
      <c r="P27" s="1">
        <f t="shared" si="3"/>
        <v>1.1942838113146474</v>
      </c>
      <c r="R27" s="21">
        <f t="shared" si="10"/>
        <v>0.57418716449417351</v>
      </c>
      <c r="S27" s="21">
        <f t="shared" si="11"/>
        <v>1.3390152377689724</v>
      </c>
      <c r="T27" s="21">
        <f t="shared" si="12"/>
        <v>1.0844665390527322</v>
      </c>
      <c r="U27" s="21">
        <f t="shared" si="13"/>
        <v>1.1942838113146474</v>
      </c>
      <c r="Y27" s="21">
        <f t="shared" si="14"/>
        <v>5.1248598320026</v>
      </c>
      <c r="Z27" s="21">
        <f t="shared" si="15"/>
        <v>5.1248598320026</v>
      </c>
      <c r="AB27" s="21">
        <f t="shared" si="4"/>
        <v>-2.7677937611907844E-2</v>
      </c>
      <c r="AD27" s="1">
        <f t="shared" si="16"/>
        <v>2.9036431616462311E-4</v>
      </c>
      <c r="AE27" s="1">
        <f t="shared" si="5"/>
        <v>1.6526287220836752E-4</v>
      </c>
      <c r="AF27" s="1">
        <f t="shared" si="17"/>
        <v>2.0492743543390238E-4</v>
      </c>
      <c r="AG27" s="1">
        <f t="shared" si="6"/>
        <v>1.1663587668568935E-4</v>
      </c>
      <c r="AH27" s="1">
        <f t="shared" si="18"/>
        <v>3.5371338134851572E-4</v>
      </c>
      <c r="AI27" s="1">
        <f t="shared" si="7"/>
        <v>2.0131843372602181E-4</v>
      </c>
      <c r="AJ27" s="1">
        <f t="shared" si="19"/>
        <v>2.2405198867799368E-4</v>
      </c>
      <c r="AK27" s="1">
        <f t="shared" si="8"/>
        <v>1.2752074931937922E-4</v>
      </c>
      <c r="AL27" s="1">
        <f t="shared" si="20"/>
        <v>2.7135232952850825E-4</v>
      </c>
      <c r="AM27" s="1">
        <f t="shared" si="21"/>
        <v>1.5580702467086273E-4</v>
      </c>
      <c r="AN27" s="1">
        <f t="shared" si="22"/>
        <v>3.6334490404278002E-4</v>
      </c>
      <c r="AO27" s="1">
        <f t="shared" si="23"/>
        <v>2.9427252166767785E-4</v>
      </c>
      <c r="AP27" s="1">
        <f t="shared" si="24"/>
        <v>3.2407169431841499E-4</v>
      </c>
    </row>
    <row r="28" spans="2:58" x14ac:dyDescent="0.3">
      <c r="B28" s="1">
        <v>0.85485107796633497</v>
      </c>
      <c r="C28" s="1"/>
      <c r="D28" s="4"/>
      <c r="E28" s="1"/>
      <c r="G28" s="4"/>
      <c r="H28" s="4"/>
      <c r="I28" s="1">
        <f t="shared" si="9"/>
        <v>5.2192311096500612</v>
      </c>
      <c r="K28" s="5" t="s">
        <v>68</v>
      </c>
      <c r="M28" s="1">
        <f t="shared" si="0"/>
        <v>0.66106042792911879</v>
      </c>
      <c r="N28" s="1">
        <f t="shared" si="1"/>
        <v>1.4654064630572292</v>
      </c>
      <c r="O28" s="1">
        <f t="shared" si="2"/>
        <v>0.9872135474344188</v>
      </c>
      <c r="P28" s="1">
        <f t="shared" si="3"/>
        <v>1.2227640397281525</v>
      </c>
      <c r="R28" s="21">
        <f t="shared" si="10"/>
        <v>0.66106042792911879</v>
      </c>
      <c r="S28" s="21">
        <f t="shared" si="11"/>
        <v>1.4654064630572292</v>
      </c>
      <c r="T28" s="21">
        <f t="shared" si="12"/>
        <v>0.9872135474344188</v>
      </c>
      <c r="U28" s="21">
        <f t="shared" si="13"/>
        <v>1.2227640397281525</v>
      </c>
      <c r="Y28" s="21">
        <f t="shared" si="14"/>
        <v>5.2100158825608371</v>
      </c>
      <c r="Z28" s="21">
        <f t="shared" si="15"/>
        <v>5.2100158825608371</v>
      </c>
      <c r="AB28" s="21">
        <f t="shared" si="4"/>
        <v>9.2152270892240651E-3</v>
      </c>
      <c r="AD28" s="1">
        <f t="shared" si="16"/>
        <v>-9.6675306866544198E-5</v>
      </c>
      <c r="AE28" s="1">
        <f t="shared" si="5"/>
        <v>-8.2642990287591539E-5</v>
      </c>
      <c r="AF28" s="1">
        <f t="shared" si="17"/>
        <v>-6.8229536492749599E-5</v>
      </c>
      <c r="AG28" s="1">
        <f t="shared" si="6"/>
        <v>-5.8326092819970382E-5</v>
      </c>
      <c r="AH28" s="1">
        <f t="shared" si="18"/>
        <v>-1.1776705256469444E-4</v>
      </c>
      <c r="AI28" s="1">
        <f t="shared" si="7"/>
        <v>-1.0067329183384708E-4</v>
      </c>
      <c r="AJ28" s="1">
        <f t="shared" si="19"/>
        <v>-7.4596958213088901E-5</v>
      </c>
      <c r="AK28" s="1">
        <f t="shared" si="8"/>
        <v>-6.376929014146869E-5</v>
      </c>
      <c r="AL28" s="1">
        <f t="shared" si="20"/>
        <v>-9.0345363619843779E-5</v>
      </c>
      <c r="AM28" s="1">
        <f t="shared" si="21"/>
        <v>-5.9723744735945768E-5</v>
      </c>
      <c r="AN28" s="1">
        <f t="shared" si="22"/>
        <v>-1.3239267975577454E-4</v>
      </c>
      <c r="AO28" s="1">
        <f t="shared" si="23"/>
        <v>-8.9190166913398459E-5</v>
      </c>
      <c r="AP28" s="1">
        <f t="shared" si="24"/>
        <v>-1.1047106179050904E-4</v>
      </c>
    </row>
    <row r="29" spans="2:58" x14ac:dyDescent="0.3">
      <c r="B29" s="1">
        <v>0.95717351956218699</v>
      </c>
      <c r="C29" s="1"/>
      <c r="D29" s="4"/>
      <c r="E29" s="1"/>
      <c r="G29" s="4"/>
      <c r="H29" s="4"/>
      <c r="I29" s="1">
        <f t="shared" si="9"/>
        <v>5.2748543439653197</v>
      </c>
      <c r="K29" s="5" t="s">
        <v>29</v>
      </c>
      <c r="M29" s="1">
        <f t="shared" si="0"/>
        <v>0.69217441993325268</v>
      </c>
      <c r="N29" s="1">
        <f t="shared" si="1"/>
        <v>1.5106739644439635</v>
      </c>
      <c r="O29" s="1">
        <f t="shared" si="2"/>
        <v>0.9523820160294052</v>
      </c>
      <c r="P29" s="1">
        <f t="shared" si="3"/>
        <v>1.2329643426072689</v>
      </c>
      <c r="R29" s="21">
        <f t="shared" si="10"/>
        <v>0.69217441993325268</v>
      </c>
      <c r="S29" s="21">
        <f t="shared" si="11"/>
        <v>1.5106739644439635</v>
      </c>
      <c r="T29" s="21">
        <f t="shared" si="12"/>
        <v>0.9523820160294052</v>
      </c>
      <c r="U29" s="21">
        <f t="shared" si="13"/>
        <v>1.2329643426072689</v>
      </c>
      <c r="Y29" s="21">
        <f t="shared" si="14"/>
        <v>5.240514848196641</v>
      </c>
      <c r="Z29" s="21">
        <f t="shared" si="15"/>
        <v>5.240514848196641</v>
      </c>
      <c r="AB29" s="21">
        <f t="shared" si="4"/>
        <v>3.4339495768678674E-2</v>
      </c>
      <c r="AD29" s="1">
        <f t="shared" si="16"/>
        <v>-3.6024953687375025E-4</v>
      </c>
      <c r="AE29" s="1">
        <f t="shared" si="5"/>
        <v>-3.4482131713009539E-4</v>
      </c>
      <c r="AF29" s="1">
        <f t="shared" si="17"/>
        <v>-2.5424960850193906E-4</v>
      </c>
      <c r="AG29" s="1">
        <f t="shared" si="6"/>
        <v>-2.4336099261710914E-4</v>
      </c>
      <c r="AH29" s="1">
        <f t="shared" si="18"/>
        <v>-4.3884552861036435E-4</v>
      </c>
      <c r="AI29" s="1">
        <f t="shared" si="7"/>
        <v>-4.2005131916411089E-4</v>
      </c>
      <c r="AJ29" s="1">
        <f t="shared" si="19"/>
        <v>-2.7797708142321626E-4</v>
      </c>
      <c r="AK29" s="1">
        <f t="shared" si="8"/>
        <v>-2.6607230138348453E-4</v>
      </c>
      <c r="AL29" s="1">
        <f t="shared" si="20"/>
        <v>-3.3666172322233996E-4</v>
      </c>
      <c r="AM29" s="1">
        <f t="shared" si="21"/>
        <v>-2.3302863298515242E-4</v>
      </c>
      <c r="AN29" s="1">
        <f t="shared" si="22"/>
        <v>-5.0858610009682872E-4</v>
      </c>
      <c r="AO29" s="1">
        <f t="shared" si="23"/>
        <v>-3.2063057068242577E-4</v>
      </c>
      <c r="AP29" s="1">
        <f t="shared" si="24"/>
        <v>-4.150919002538627E-4</v>
      </c>
    </row>
    <row r="30" spans="2:58" x14ac:dyDescent="0.3">
      <c r="B30" s="1">
        <v>8.6261877719560287E-2</v>
      </c>
      <c r="C30" s="1"/>
      <c r="D30" s="4"/>
      <c r="E30" s="1"/>
      <c r="G30" s="4"/>
      <c r="H30" s="4"/>
      <c r="I30" s="1">
        <f t="shared" si="9"/>
        <v>5.0022323334643115</v>
      </c>
      <c r="K30" s="5" t="s">
        <v>2</v>
      </c>
      <c r="M30" s="1">
        <f t="shared" si="0"/>
        <v>0.42734944666270547</v>
      </c>
      <c r="N30" s="1">
        <f t="shared" si="1"/>
        <v>1.1253822010735288</v>
      </c>
      <c r="O30" s="1">
        <f t="shared" si="2"/>
        <v>1.2488486144677977</v>
      </c>
      <c r="P30" s="1">
        <f t="shared" si="3"/>
        <v>1.1461450448149904</v>
      </c>
      <c r="R30" s="21">
        <f t="shared" si="10"/>
        <v>0.42734944666270547</v>
      </c>
      <c r="S30" s="21">
        <f t="shared" si="11"/>
        <v>1.1253822010735288</v>
      </c>
      <c r="T30" s="21">
        <f t="shared" si="12"/>
        <v>1.2488486144677977</v>
      </c>
      <c r="U30" s="21">
        <f t="shared" si="13"/>
        <v>1.1461450448149904</v>
      </c>
      <c r="Y30" s="21">
        <f t="shared" si="14"/>
        <v>4.9809246368792319</v>
      </c>
      <c r="Z30" s="21">
        <f t="shared" si="15"/>
        <v>4.9809246368792319</v>
      </c>
      <c r="AB30" s="21">
        <f t="shared" si="4"/>
        <v>2.1307696585079583E-2</v>
      </c>
      <c r="AD30" s="1">
        <f t="shared" si="16"/>
        <v>-2.2353525160444346E-4</v>
      </c>
      <c r="AE30" s="1">
        <f t="shared" si="5"/>
        <v>-1.9282570539913646E-5</v>
      </c>
      <c r="AF30" s="1">
        <f t="shared" si="17"/>
        <v>-1.577621742418218E-4</v>
      </c>
      <c r="AG30" s="1">
        <f t="shared" si="6"/>
        <v>-1.3608861383219995E-5</v>
      </c>
      <c r="AH30" s="1">
        <f t="shared" si="18"/>
        <v>-2.72304154794184E-4</v>
      </c>
      <c r="AI30" s="1">
        <f t="shared" si="7"/>
        <v>-2.3489467703384117E-5</v>
      </c>
      <c r="AJ30" s="1">
        <f t="shared" si="19"/>
        <v>-1.7248509845547343E-4</v>
      </c>
      <c r="AK30" s="1">
        <f t="shared" si="8"/>
        <v>-1.4878888471412366E-5</v>
      </c>
      <c r="AL30" s="1">
        <f t="shared" si="20"/>
        <v>-2.0889898612823122E-4</v>
      </c>
      <c r="AM30" s="1">
        <f t="shared" si="21"/>
        <v>-8.9272866130299801E-5</v>
      </c>
      <c r="AN30" s="1">
        <f t="shared" si="22"/>
        <v>-2.3509120081101741E-4</v>
      </c>
      <c r="AO30" s="1">
        <f t="shared" si="23"/>
        <v>-2.6088320938996923E-4</v>
      </c>
      <c r="AP30" s="1">
        <f t="shared" si="24"/>
        <v>-2.3942853781774761E-4</v>
      </c>
    </row>
    <row r="31" spans="2:58" x14ac:dyDescent="0.3">
      <c r="B31" s="1">
        <v>0.271341709403355</v>
      </c>
      <c r="C31" s="1"/>
      <c r="D31" s="4"/>
      <c r="E31" s="1"/>
      <c r="G31" s="4"/>
      <c r="H31" s="4"/>
      <c r="I31" s="1">
        <f t="shared" si="9"/>
        <v>5.0220878969785803</v>
      </c>
      <c r="K31" s="25">
        <f>+$AZ$14</f>
        <v>1.137545784809681</v>
      </c>
      <c r="M31" s="1">
        <f t="shared" si="0"/>
        <v>0.48362813111670783</v>
      </c>
      <c r="N31" s="1">
        <f t="shared" si="1"/>
        <v>1.2072616148828095</v>
      </c>
      <c r="O31" s="1">
        <f t="shared" si="2"/>
        <v>1.1858456811016138</v>
      </c>
      <c r="P31" s="1">
        <f t="shared" si="3"/>
        <v>1.1645952529076316</v>
      </c>
      <c r="R31" s="21">
        <f t="shared" si="10"/>
        <v>0.48362813111670783</v>
      </c>
      <c r="S31" s="21">
        <f t="shared" si="11"/>
        <v>1.2072616148828095</v>
      </c>
      <c r="T31" s="21">
        <f t="shared" si="12"/>
        <v>1.1858456811016138</v>
      </c>
      <c r="U31" s="21">
        <f t="shared" si="13"/>
        <v>1.1645952529076316</v>
      </c>
      <c r="Y31" s="21">
        <f t="shared" si="14"/>
        <v>5.0360908676529252</v>
      </c>
      <c r="Z31" s="21">
        <f t="shared" si="15"/>
        <v>5.0360908676529252</v>
      </c>
      <c r="AB31" s="21">
        <f t="shared" si="4"/>
        <v>-1.4002970674344972E-2</v>
      </c>
      <c r="AD31" s="1">
        <f t="shared" si="16"/>
        <v>1.469026724874239E-4</v>
      </c>
      <c r="AE31" s="1">
        <f t="shared" si="5"/>
        <v>3.986082226865881E-5</v>
      </c>
      <c r="AF31" s="1">
        <f t="shared" si="17"/>
        <v>1.0367798746374356E-4</v>
      </c>
      <c r="AG31" s="1">
        <f t="shared" si="6"/>
        <v>2.813216234591179E-5</v>
      </c>
      <c r="AH31" s="1">
        <f t="shared" si="18"/>
        <v>1.7895257138001954E-4</v>
      </c>
      <c r="AI31" s="1">
        <f t="shared" si="7"/>
        <v>4.8557296620380408E-5</v>
      </c>
      <c r="AJ31" s="1">
        <f t="shared" si="19"/>
        <v>1.1335358403426782E-4</v>
      </c>
      <c r="AK31" s="1">
        <f t="shared" si="8"/>
        <v>3.075755525885508E-5</v>
      </c>
      <c r="AL31" s="1">
        <f t="shared" si="20"/>
        <v>1.3728402621906836E-4</v>
      </c>
      <c r="AM31" s="1">
        <f t="shared" si="21"/>
        <v>6.6394417032505142E-5</v>
      </c>
      <c r="AN31" s="1">
        <f t="shared" si="22"/>
        <v>1.6573773519084644E-4</v>
      </c>
      <c r="AO31" s="1">
        <f t="shared" si="23"/>
        <v>1.6279766957612293E-4</v>
      </c>
      <c r="AP31" s="1">
        <f t="shared" si="24"/>
        <v>1.5988032523477384E-4</v>
      </c>
    </row>
    <row r="32" spans="2:58" x14ac:dyDescent="0.3">
      <c r="B32" s="1">
        <v>0.42637277813488017</v>
      </c>
      <c r="C32" s="1"/>
      <c r="D32" s="4"/>
      <c r="E32" s="1"/>
      <c r="G32" s="4"/>
      <c r="H32" s="4"/>
      <c r="I32" s="1">
        <f t="shared" si="9"/>
        <v>5.0545381237803371</v>
      </c>
      <c r="K32" s="5" t="s">
        <v>3</v>
      </c>
      <c r="M32" s="1">
        <f t="shared" si="0"/>
        <v>0.53076965117500707</v>
      </c>
      <c r="N32" s="1">
        <f t="shared" si="1"/>
        <v>1.2758474403316395</v>
      </c>
      <c r="O32" s="1">
        <f t="shared" si="2"/>
        <v>1.1330716321729981</v>
      </c>
      <c r="P32" s="1">
        <f t="shared" si="3"/>
        <v>1.1800499648170741</v>
      </c>
      <c r="R32" s="21">
        <f t="shared" si="10"/>
        <v>0.53076965117500707</v>
      </c>
      <c r="S32" s="21">
        <f t="shared" si="11"/>
        <v>1.2758474403316395</v>
      </c>
      <c r="T32" s="21">
        <f t="shared" si="12"/>
        <v>1.1330716321729981</v>
      </c>
      <c r="U32" s="21">
        <f t="shared" si="13"/>
        <v>1.1800499648170741</v>
      </c>
      <c r="Y32" s="21">
        <f t="shared" si="14"/>
        <v>5.0823005472108118</v>
      </c>
      <c r="Z32" s="21">
        <f t="shared" si="15"/>
        <v>5.0823005472108118</v>
      </c>
      <c r="AB32" s="21">
        <f t="shared" si="4"/>
        <v>-2.7762423430474747E-2</v>
      </c>
      <c r="AD32" s="1">
        <f t="shared" si="16"/>
        <v>2.9125064184675175E-4</v>
      </c>
      <c r="AE32" s="1">
        <f t="shared" si="5"/>
        <v>1.2418134529776652E-4</v>
      </c>
      <c r="AF32" s="1">
        <f t="shared" si="17"/>
        <v>2.0555296838986947E-4</v>
      </c>
      <c r="AG32" s="1">
        <f t="shared" si="6"/>
        <v>8.764219018625986E-5</v>
      </c>
      <c r="AH32" s="1">
        <f t="shared" si="18"/>
        <v>3.5479307756650417E-4</v>
      </c>
      <c r="AI32" s="1">
        <f t="shared" si="7"/>
        <v>1.5127411014505442E-4</v>
      </c>
      <c r="AJ32" s="1">
        <f t="shared" si="19"/>
        <v>2.2473589858235229E-4</v>
      </c>
      <c r="AK32" s="1">
        <f t="shared" si="8"/>
        <v>9.5821269425196227E-5</v>
      </c>
      <c r="AL32" s="1">
        <f t="shared" si="20"/>
        <v>2.7218062186739949E-4</v>
      </c>
      <c r="AM32" s="1">
        <f t="shared" si="21"/>
        <v>1.4446521372515612E-4</v>
      </c>
      <c r="AN32" s="1">
        <f t="shared" si="22"/>
        <v>3.472609497173955E-4</v>
      </c>
      <c r="AO32" s="1">
        <f t="shared" si="23"/>
        <v>3.0840014146515596E-4</v>
      </c>
      <c r="AP32" s="1">
        <f t="shared" si="24"/>
        <v>3.2118673325851413E-4</v>
      </c>
    </row>
    <row r="33" spans="2:47" x14ac:dyDescent="0.3">
      <c r="B33" s="1">
        <v>4.116955399503619E-2</v>
      </c>
      <c r="C33" s="1"/>
      <c r="D33" s="4"/>
      <c r="E33" s="1"/>
      <c r="G33" s="4"/>
      <c r="H33" s="4"/>
      <c r="I33" s="1">
        <f t="shared" si="9"/>
        <v>5.0005084796528454</v>
      </c>
      <c r="K33" s="25">
        <f>+$BA$14</f>
        <v>9.968783699870068E-2</v>
      </c>
      <c r="M33" s="1">
        <f t="shared" si="0"/>
        <v>0.41363786806928049</v>
      </c>
      <c r="N33" s="1">
        <f t="shared" si="1"/>
        <v>1.105433333602273</v>
      </c>
      <c r="O33" s="1">
        <f t="shared" si="2"/>
        <v>1.2641984699387943</v>
      </c>
      <c r="P33" s="1">
        <f t="shared" si="3"/>
        <v>1.1416498885976474</v>
      </c>
      <c r="R33" s="21">
        <f t="shared" si="10"/>
        <v>0.41363786806928049</v>
      </c>
      <c r="S33" s="21">
        <f t="shared" si="11"/>
        <v>1.105433333602273</v>
      </c>
      <c r="T33" s="21">
        <f t="shared" si="12"/>
        <v>1.2641984699387943</v>
      </c>
      <c r="U33" s="21">
        <f t="shared" si="13"/>
        <v>1.1416498885976474</v>
      </c>
      <c r="Y33" s="21">
        <f t="shared" si="14"/>
        <v>4.9674840933360587</v>
      </c>
      <c r="Z33" s="21">
        <f t="shared" si="15"/>
        <v>4.9674840933360587</v>
      </c>
      <c r="AB33" s="21">
        <f t="shared" si="4"/>
        <v>3.3024386316786725E-2</v>
      </c>
      <c r="AD33" s="1">
        <f t="shared" si="16"/>
        <v>-3.4645295773427163E-4</v>
      </c>
      <c r="AE33" s="1">
        <f t="shared" si="5"/>
        <v>-1.4263313750181088E-5</v>
      </c>
      <c r="AF33" s="1">
        <f t="shared" si="17"/>
        <v>-2.4451253881596814E-4</v>
      </c>
      <c r="AG33" s="1">
        <f t="shared" si="6"/>
        <v>-1.0066472169247382E-5</v>
      </c>
      <c r="AH33" s="1">
        <f t="shared" si="18"/>
        <v>-4.2203893638537263E-4</v>
      </c>
      <c r="AI33" s="1">
        <f t="shared" si="7"/>
        <v>-1.7375154779525241E-5</v>
      </c>
      <c r="AJ33" s="1">
        <f t="shared" si="19"/>
        <v>-2.673313139474326E-4</v>
      </c>
      <c r="AK33" s="1">
        <f t="shared" si="8"/>
        <v>-1.1005910964122797E-5</v>
      </c>
      <c r="AL33" s="1">
        <f t="shared" si="20"/>
        <v>-3.2376849330183064E-4</v>
      </c>
      <c r="AM33" s="1">
        <f t="shared" si="21"/>
        <v>-1.3392290931737235E-4</v>
      </c>
      <c r="AN33" s="1">
        <f t="shared" si="22"/>
        <v>-3.5790448486602784E-4</v>
      </c>
      <c r="AO33" s="1">
        <f t="shared" si="23"/>
        <v>-4.0930763384656305E-4</v>
      </c>
      <c r="AP33" s="1">
        <f t="shared" si="24"/>
        <v>-3.6963026430946307E-4</v>
      </c>
    </row>
    <row r="34" spans="2:47" x14ac:dyDescent="0.3">
      <c r="B34" s="1">
        <v>0.35130303844857647</v>
      </c>
      <c r="C34" s="1"/>
      <c r="D34" s="4"/>
      <c r="E34" s="1"/>
      <c r="G34" s="4"/>
      <c r="H34" s="4"/>
      <c r="I34" s="1">
        <f t="shared" si="9"/>
        <v>5.037024147446961</v>
      </c>
      <c r="M34" s="1">
        <f t="shared" si="0"/>
        <v>0.50794260322811025</v>
      </c>
      <c r="N34" s="1">
        <f t="shared" si="1"/>
        <v>1.2426365484456383</v>
      </c>
      <c r="O34" s="1">
        <f t="shared" si="2"/>
        <v>1.1586260848880481</v>
      </c>
      <c r="P34" s="1">
        <f t="shared" si="3"/>
        <v>1.1725664248436911</v>
      </c>
      <c r="R34" s="21">
        <f t="shared" si="10"/>
        <v>0.50794260322811025</v>
      </c>
      <c r="S34" s="21">
        <f t="shared" si="11"/>
        <v>1.2426365484456383</v>
      </c>
      <c r="T34" s="21">
        <f t="shared" si="12"/>
        <v>1.1586260848880481</v>
      </c>
      <c r="U34" s="21">
        <f t="shared" si="13"/>
        <v>1.1725664248436911</v>
      </c>
      <c r="Y34" s="21">
        <f t="shared" si="14"/>
        <v>5.0599247186508904</v>
      </c>
      <c r="Z34" s="21">
        <f t="shared" si="15"/>
        <v>5.0599247186508904</v>
      </c>
      <c r="AB34" s="21">
        <f t="shared" si="4"/>
        <v>-2.290057120392941E-2</v>
      </c>
      <c r="AD34" s="1">
        <f t="shared" si="16"/>
        <v>2.4024581566176425E-4</v>
      </c>
      <c r="AE34" s="1">
        <f t="shared" si="5"/>
        <v>8.4399085016534383E-5</v>
      </c>
      <c r="AF34" s="1">
        <f t="shared" si="17"/>
        <v>1.6955581707698062E-4</v>
      </c>
      <c r="AG34" s="1">
        <f t="shared" si="6"/>
        <v>5.9565473725774323E-5</v>
      </c>
      <c r="AH34" s="1">
        <f t="shared" si="18"/>
        <v>2.9266047885986147E-4</v>
      </c>
      <c r="AI34" s="1">
        <f t="shared" si="7"/>
        <v>1.0281251545728472E-4</v>
      </c>
      <c r="AJ34" s="1">
        <f t="shared" si="19"/>
        <v>1.8537936576224203E-4</v>
      </c>
      <c r="AK34" s="1">
        <f t="shared" si="8"/>
        <v>6.5124334457945628E-5</v>
      </c>
      <c r="AL34" s="1">
        <f t="shared" si="20"/>
        <v>2.2451540396009224E-4</v>
      </c>
      <c r="AM34" s="1">
        <f t="shared" si="21"/>
        <v>1.1404093875230003E-4</v>
      </c>
      <c r="AN34" s="1">
        <f t="shared" si="22"/>
        <v>2.7899104664984721E-4</v>
      </c>
      <c r="AO34" s="1">
        <f t="shared" si="23"/>
        <v>2.6012940348734022E-4</v>
      </c>
      <c r="AP34" s="1">
        <f t="shared" si="24"/>
        <v>2.6325922454382245E-4</v>
      </c>
    </row>
    <row r="35" spans="2:47" x14ac:dyDescent="0.3">
      <c r="B35" s="1">
        <v>0.47908259998639258</v>
      </c>
      <c r="C35" s="1"/>
      <c r="D35" s="4"/>
      <c r="E35" s="1"/>
      <c r="G35" s="4"/>
      <c r="H35" s="4"/>
      <c r="I35" s="1">
        <f t="shared" si="9"/>
        <v>5.0688560412829169</v>
      </c>
      <c r="M35" s="1">
        <f t="shared" si="0"/>
        <v>0.54679754251584234</v>
      </c>
      <c r="N35" s="1">
        <f t="shared" si="1"/>
        <v>1.2991662929366441</v>
      </c>
      <c r="O35" s="1">
        <f t="shared" si="2"/>
        <v>1.1151287079567718</v>
      </c>
      <c r="P35" s="1">
        <f t="shared" si="3"/>
        <v>1.1853044929460383</v>
      </c>
      <c r="R35" s="21">
        <f t="shared" si="10"/>
        <v>0.54679754251584234</v>
      </c>
      <c r="S35" s="21">
        <f t="shared" si="11"/>
        <v>1.2991662929366441</v>
      </c>
      <c r="T35" s="21">
        <f t="shared" si="12"/>
        <v>1.1151287079567718</v>
      </c>
      <c r="U35" s="21">
        <f t="shared" si="13"/>
        <v>1.1853044929460383</v>
      </c>
      <c r="Y35" s="21">
        <f t="shared" si="14"/>
        <v>5.0980116172385213</v>
      </c>
      <c r="Z35" s="21">
        <f t="shared" si="15"/>
        <v>5.0980116172385213</v>
      </c>
      <c r="AB35" s="21">
        <f t="shared" si="4"/>
        <v>-2.9155575955604363E-2</v>
      </c>
      <c r="AD35" s="1">
        <f t="shared" si="16"/>
        <v>3.058659569740697E-4</v>
      </c>
      <c r="AE35" s="1">
        <f t="shared" si="5"/>
        <v>1.4653505791446339E-4</v>
      </c>
      <c r="AF35" s="1">
        <f t="shared" si="17"/>
        <v>2.1586786894879872E-4</v>
      </c>
      <c r="AG35" s="1">
        <f t="shared" si="6"/>
        <v>1.0341853990951235E-4</v>
      </c>
      <c r="AH35" s="1">
        <f t="shared" si="18"/>
        <v>3.7259703020587324E-4</v>
      </c>
      <c r="AI35" s="1">
        <f t="shared" si="7"/>
        <v>1.785047539782382E-4</v>
      </c>
      <c r="AJ35" s="1">
        <f t="shared" si="19"/>
        <v>2.3601342215234428E-4</v>
      </c>
      <c r="AK35" s="1">
        <f t="shared" si="8"/>
        <v>1.1306992391643117E-4</v>
      </c>
      <c r="AL35" s="1">
        <f t="shared" si="20"/>
        <v>2.8583897995690551E-4</v>
      </c>
      <c r="AM35" s="1">
        <f t="shared" si="21"/>
        <v>1.5629605179567105E-4</v>
      </c>
      <c r="AN35" s="1">
        <f t="shared" si="22"/>
        <v>3.7135236796740463E-4</v>
      </c>
      <c r="AO35" s="1">
        <f t="shared" si="23"/>
        <v>3.1874725240302565E-4</v>
      </c>
      <c r="AP35" s="1">
        <f t="shared" si="24"/>
        <v>3.3880622720203272E-4</v>
      </c>
    </row>
    <row r="36" spans="2:47" x14ac:dyDescent="0.3">
      <c r="B36" s="1">
        <v>0.47151903590348931</v>
      </c>
      <c r="C36" s="1"/>
      <c r="D36" s="4"/>
      <c r="E36" s="1"/>
      <c r="G36" s="4"/>
      <c r="H36" s="4"/>
      <c r="I36" s="1">
        <f t="shared" si="9"/>
        <v>5.0666990603658064</v>
      </c>
      <c r="M36" s="1">
        <f t="shared" si="0"/>
        <v>0.54449762991868489</v>
      </c>
      <c r="N36" s="1">
        <f t="shared" si="1"/>
        <v>1.2958201682520534</v>
      </c>
      <c r="O36" s="1">
        <f t="shared" si="2"/>
        <v>1.1177034170409044</v>
      </c>
      <c r="P36" s="1">
        <f t="shared" si="3"/>
        <v>1.1845504976026127</v>
      </c>
      <c r="R36" s="21">
        <f t="shared" si="10"/>
        <v>0.54449762991868489</v>
      </c>
      <c r="S36" s="21">
        <f t="shared" si="11"/>
        <v>1.2958201682520534</v>
      </c>
      <c r="T36" s="21">
        <f t="shared" si="12"/>
        <v>1.1177034170409044</v>
      </c>
      <c r="U36" s="21">
        <f t="shared" si="13"/>
        <v>1.1845504976026127</v>
      </c>
      <c r="Y36" s="21">
        <f t="shared" si="14"/>
        <v>5.0957571667245301</v>
      </c>
      <c r="Z36" s="21">
        <f t="shared" si="15"/>
        <v>5.0957571667245301</v>
      </c>
      <c r="AB36" s="21">
        <f t="shared" si="4"/>
        <v>-2.9058106358723634E-2</v>
      </c>
      <c r="AD36" s="1">
        <f t="shared" si="16"/>
        <v>3.0484342078506771E-4</v>
      </c>
      <c r="AE36" s="1">
        <f t="shared" si="5"/>
        <v>1.4373947587009684E-4</v>
      </c>
      <c r="AF36" s="1">
        <f t="shared" si="17"/>
        <v>2.151462041050659E-4</v>
      </c>
      <c r="AG36" s="1">
        <f t="shared" si="6"/>
        <v>1.0144553073791601E-4</v>
      </c>
      <c r="AH36" s="1">
        <f t="shared" si="18"/>
        <v>3.7135140630228702E-4</v>
      </c>
      <c r="AI36" s="1">
        <f t="shared" si="7"/>
        <v>1.7509925708105933E-4</v>
      </c>
      <c r="AJ36" s="1">
        <f t="shared" si="19"/>
        <v>2.3522440899236902E-4</v>
      </c>
      <c r="AK36" s="1">
        <f t="shared" si="8"/>
        <v>1.109127865490499E-4</v>
      </c>
      <c r="AL36" s="1">
        <f t="shared" si="20"/>
        <v>2.8488339567376111E-4</v>
      </c>
      <c r="AM36" s="1">
        <f t="shared" si="21"/>
        <v>1.5511833374754985E-4</v>
      </c>
      <c r="AN36" s="1">
        <f t="shared" si="22"/>
        <v>3.6915764971418941E-4</v>
      </c>
      <c r="AO36" s="1">
        <f t="shared" si="23"/>
        <v>3.1841514480277877E-4</v>
      </c>
      <c r="AP36" s="1">
        <f t="shared" si="24"/>
        <v>3.3745876810407568E-4</v>
      </c>
    </row>
    <row r="37" spans="2:47" x14ac:dyDescent="0.3">
      <c r="B37" s="1">
        <v>1.464364815008512E-2</v>
      </c>
      <c r="C37" s="1"/>
      <c r="D37" s="4"/>
      <c r="E37" s="1"/>
      <c r="G37" s="4"/>
      <c r="H37" s="4"/>
      <c r="I37" s="1">
        <f t="shared" si="9"/>
        <v>5.0000643309293427</v>
      </c>
      <c r="M37" s="1">
        <f t="shared" si="0"/>
        <v>0.40557192662486063</v>
      </c>
      <c r="N37" s="1">
        <f t="shared" si="1"/>
        <v>1.0936982590585731</v>
      </c>
      <c r="O37" s="1">
        <f t="shared" si="2"/>
        <v>1.273228140342225</v>
      </c>
      <c r="P37" s="1">
        <f t="shared" si="3"/>
        <v>1.139005578419533</v>
      </c>
      <c r="R37" s="21">
        <f t="shared" si="10"/>
        <v>0.40557192662486063</v>
      </c>
      <c r="S37" s="21">
        <f t="shared" si="11"/>
        <v>1.0936982590585731</v>
      </c>
      <c r="T37" s="21">
        <f t="shared" si="12"/>
        <v>1.273228140342225</v>
      </c>
      <c r="U37" s="21">
        <f t="shared" si="13"/>
        <v>1.139005578419533</v>
      </c>
      <c r="Y37" s="21">
        <f t="shared" si="14"/>
        <v>4.9595775903421293</v>
      </c>
      <c r="Z37" s="21">
        <f t="shared" si="15"/>
        <v>4.9595775903421293</v>
      </c>
      <c r="AB37" s="21">
        <f t="shared" si="4"/>
        <v>4.0486740587213355E-2</v>
      </c>
      <c r="AD37" s="1">
        <f t="shared" si="16"/>
        <v>-4.2473918791127599E-4</v>
      </c>
      <c r="AE37" s="1">
        <f t="shared" si="5"/>
        <v>-6.2197312233256132E-6</v>
      </c>
      <c r="AF37" s="1">
        <f t="shared" si="17"/>
        <v>-2.9976380588580339E-4</v>
      </c>
      <c r="AG37" s="1">
        <f t="shared" si="6"/>
        <v>-4.3896357015221197E-6</v>
      </c>
      <c r="AH37" s="1">
        <f t="shared" si="18"/>
        <v>-5.1740494951915239E-4</v>
      </c>
      <c r="AI37" s="1">
        <f t="shared" si="7"/>
        <v>-7.5766960318710204E-6</v>
      </c>
      <c r="AJ37" s="1">
        <f t="shared" si="19"/>
        <v>-3.277388247219884E-4</v>
      </c>
      <c r="AK37" s="1">
        <f t="shared" si="8"/>
        <v>-4.7992920343512168E-6</v>
      </c>
      <c r="AL37" s="1">
        <f t="shared" si="20"/>
        <v>-3.9692882928640545E-4</v>
      </c>
      <c r="AM37" s="1">
        <f t="shared" si="21"/>
        <v>-1.6098319002663786E-4</v>
      </c>
      <c r="AN37" s="1">
        <f t="shared" si="22"/>
        <v>-4.3412036956069918E-4</v>
      </c>
      <c r="AO37" s="1">
        <f t="shared" si="23"/>
        <v>-5.0538095516054651E-4</v>
      </c>
      <c r="AP37" s="1">
        <f t="shared" si="24"/>
        <v>-4.521041507927503E-4</v>
      </c>
    </row>
    <row r="38" spans="2:47" x14ac:dyDescent="0.3">
      <c r="B38" s="1">
        <v>8.5760532098901887E-3</v>
      </c>
      <c r="C38" s="1"/>
      <c r="D38" s="4"/>
      <c r="E38" s="1"/>
      <c r="G38" s="4"/>
      <c r="H38" s="4"/>
      <c r="I38" s="1">
        <f t="shared" si="9"/>
        <v>5.0000220646065978</v>
      </c>
      <c r="M38" s="1">
        <f t="shared" si="0"/>
        <v>0.40372690516613496</v>
      </c>
      <c r="N38" s="1">
        <f t="shared" si="1"/>
        <v>1.0910139519008699</v>
      </c>
      <c r="O38" s="1">
        <f t="shared" si="2"/>
        <v>1.2752936073152186</v>
      </c>
      <c r="P38" s="1">
        <f t="shared" si="3"/>
        <v>1.1384007130041607</v>
      </c>
      <c r="R38" s="21">
        <f t="shared" si="10"/>
        <v>0.40372690516613496</v>
      </c>
      <c r="S38" s="21">
        <f t="shared" si="11"/>
        <v>1.0910139519008699</v>
      </c>
      <c r="T38" s="21">
        <f t="shared" si="12"/>
        <v>1.2752936073152186</v>
      </c>
      <c r="U38" s="21">
        <f t="shared" si="13"/>
        <v>1.1384007130041607</v>
      </c>
      <c r="Y38" s="21">
        <f t="shared" si="14"/>
        <v>4.9577690391906239</v>
      </c>
      <c r="Z38" s="21">
        <f t="shared" si="15"/>
        <v>4.9577690391906239</v>
      </c>
      <c r="AB38" s="21">
        <f t="shared" si="4"/>
        <v>4.2253025415973866E-2</v>
      </c>
      <c r="AD38" s="1">
        <f t="shared" si="16"/>
        <v>-4.4326896760968619E-4</v>
      </c>
      <c r="AE38" s="1">
        <f t="shared" si="5"/>
        <v>-3.8014982525137593E-6</v>
      </c>
      <c r="AF38" s="1">
        <f t="shared" si="17"/>
        <v>-3.1284137782338793E-4</v>
      </c>
      <c r="AG38" s="1">
        <f t="shared" si="6"/>
        <v>-2.6829443024687355E-6</v>
      </c>
      <c r="AH38" s="1">
        <f t="shared" si="18"/>
        <v>-5.3997738927119066E-4</v>
      </c>
      <c r="AI38" s="1">
        <f t="shared" si="7"/>
        <v>-4.630874822527319E-6</v>
      </c>
      <c r="AJ38" s="1">
        <f t="shared" si="19"/>
        <v>-3.4203684193716207E-4</v>
      </c>
      <c r="AK38" s="1">
        <f t="shared" si="8"/>
        <v>-2.9333261561959017E-6</v>
      </c>
      <c r="AL38" s="1">
        <f t="shared" si="20"/>
        <v>-4.1424534721543006E-4</v>
      </c>
      <c r="AM38" s="1">
        <f t="shared" si="21"/>
        <v>-1.6724199201075657E-4</v>
      </c>
      <c r="AN38" s="1">
        <f t="shared" si="22"/>
        <v>-4.5194745332205439E-4</v>
      </c>
      <c r="AO38" s="1">
        <f t="shared" si="23"/>
        <v>-5.2828444316391102E-4</v>
      </c>
      <c r="AP38" s="1">
        <f t="shared" si="24"/>
        <v>-4.7157719862870169E-4</v>
      </c>
    </row>
    <row r="39" spans="2:47" x14ac:dyDescent="0.3">
      <c r="B39" s="1">
        <v>0.19947071932818616</v>
      </c>
      <c r="C39" s="1"/>
      <c r="D39" s="4"/>
      <c r="E39" s="1"/>
      <c r="G39" s="4"/>
      <c r="H39" s="4"/>
      <c r="I39" s="1">
        <f t="shared" si="9"/>
        <v>5.011936570360791</v>
      </c>
      <c r="M39" s="1">
        <f t="shared" si="0"/>
        <v>0.46177375219795219</v>
      </c>
      <c r="N39" s="1">
        <f t="shared" si="1"/>
        <v>1.1754658514886573</v>
      </c>
      <c r="O39" s="1">
        <f t="shared" si="2"/>
        <v>1.2103112490539538</v>
      </c>
      <c r="P39" s="1">
        <f t="shared" si="3"/>
        <v>1.1574305893640828</v>
      </c>
      <c r="R39" s="21">
        <f t="shared" si="10"/>
        <v>0.46177375219795219</v>
      </c>
      <c r="S39" s="21">
        <f t="shared" si="11"/>
        <v>1.1754658514886573</v>
      </c>
      <c r="T39" s="21">
        <f t="shared" si="12"/>
        <v>1.2103112490539538</v>
      </c>
      <c r="U39" s="21">
        <f t="shared" si="13"/>
        <v>1.1574305893640828</v>
      </c>
      <c r="Y39" s="21">
        <f t="shared" si="14"/>
        <v>5.0146684814947484</v>
      </c>
      <c r="Z39" s="21">
        <f t="shared" si="15"/>
        <v>5.0146684814947484</v>
      </c>
      <c r="AB39" s="21">
        <f t="shared" si="4"/>
        <v>-2.731911133957432E-3</v>
      </c>
      <c r="AD39" s="1">
        <f t="shared" si="16"/>
        <v>2.8659993362106257E-5</v>
      </c>
      <c r="AE39" s="1">
        <f t="shared" si="5"/>
        <v>5.716829491880376E-6</v>
      </c>
      <c r="AF39" s="1">
        <f t="shared" si="17"/>
        <v>2.0227068590340342E-5</v>
      </c>
      <c r="AG39" s="1">
        <f t="shared" si="6"/>
        <v>4.0347079216157488E-6</v>
      </c>
      <c r="AH39" s="1">
        <f t="shared" si="18"/>
        <v>3.4912771980525214E-5</v>
      </c>
      <c r="AI39" s="1">
        <f t="shared" si="7"/>
        <v>6.9640757406963073E-6</v>
      </c>
      <c r="AJ39" s="1">
        <f t="shared" si="19"/>
        <v>2.211473018825567E-5</v>
      </c>
      <c r="AK39" s="1">
        <f t="shared" si="8"/>
        <v>4.4112411384001123E-6</v>
      </c>
      <c r="AL39" s="1">
        <f t="shared" si="20"/>
        <v>2.6783442489778746E-5</v>
      </c>
      <c r="AM39" s="1">
        <f t="shared" si="21"/>
        <v>1.2367890735283194E-5</v>
      </c>
      <c r="AN39" s="1">
        <f t="shared" si="22"/>
        <v>3.1483022032045259E-5</v>
      </c>
      <c r="AO39" s="1">
        <f t="shared" si="23"/>
        <v>3.2416301733768853E-5</v>
      </c>
      <c r="AP39" s="1">
        <f t="shared" si="24"/>
        <v>3.0999975626143634E-5</v>
      </c>
    </row>
    <row r="40" spans="2:47" x14ac:dyDescent="0.3">
      <c r="B40" s="1">
        <v>0.96556246662000567</v>
      </c>
      <c r="C40" s="1"/>
      <c r="D40" s="4"/>
      <c r="E40" s="1"/>
      <c r="G40" s="4"/>
      <c r="H40" s="4"/>
      <c r="I40" s="1">
        <f t="shared" si="9"/>
        <v>5.2796932630835931</v>
      </c>
      <c r="M40" s="1">
        <f t="shared" si="0"/>
        <v>0.69472531324276732</v>
      </c>
      <c r="N40" s="1">
        <f t="shared" si="1"/>
        <v>1.5143852389859935</v>
      </c>
      <c r="O40" s="1">
        <f t="shared" si="2"/>
        <v>0.94952633873767756</v>
      </c>
      <c r="P40" s="1">
        <f t="shared" si="3"/>
        <v>1.2338006185941595</v>
      </c>
      <c r="R40" s="21">
        <f t="shared" si="10"/>
        <v>0.69472531324276732</v>
      </c>
      <c r="S40" s="21">
        <f t="shared" si="11"/>
        <v>1.5143852389859935</v>
      </c>
      <c r="T40" s="21">
        <f t="shared" si="12"/>
        <v>0.94952633873767756</v>
      </c>
      <c r="U40" s="21">
        <f t="shared" si="13"/>
        <v>1.2338006185941595</v>
      </c>
      <c r="Y40" s="21">
        <f t="shared" si="14"/>
        <v>5.2430153183188022</v>
      </c>
      <c r="Z40" s="21">
        <f t="shared" si="15"/>
        <v>5.2430153183188022</v>
      </c>
      <c r="AB40" s="21">
        <f t="shared" si="4"/>
        <v>3.6677944764790915E-2</v>
      </c>
      <c r="AD40" s="1">
        <f t="shared" si="16"/>
        <v>-3.8478178899320925E-4</v>
      </c>
      <c r="AE40" s="1">
        <f t="shared" si="5"/>
        <v>-3.7153085329074168E-4</v>
      </c>
      <c r="AF40" s="1">
        <f t="shared" si="17"/>
        <v>-2.715634836318582E-4</v>
      </c>
      <c r="AG40" s="1">
        <f t="shared" si="6"/>
        <v>-2.6221150709949856E-4</v>
      </c>
      <c r="AH40" s="1">
        <f t="shared" si="18"/>
        <v>-4.6873000602785957E-4</v>
      </c>
      <c r="AI40" s="1">
        <f t="shared" si="7"/>
        <v>-4.5258810079907023E-4</v>
      </c>
      <c r="AJ40" s="1">
        <f t="shared" si="19"/>
        <v>-2.9690674863135373E-4</v>
      </c>
      <c r="AK40" s="1">
        <f t="shared" si="8"/>
        <v>-2.8668201256461592E-4</v>
      </c>
      <c r="AL40" s="1">
        <f t="shared" si="20"/>
        <v>-3.5958769377245997E-4</v>
      </c>
      <c r="AM40" s="1">
        <f t="shared" si="21"/>
        <v>-2.4981467319431654E-4</v>
      </c>
      <c r="AN40" s="1">
        <f t="shared" si="22"/>
        <v>-5.44554295570029E-4</v>
      </c>
      <c r="AO40" s="1">
        <f t="shared" si="23"/>
        <v>-3.4143798632288908E-4</v>
      </c>
      <c r="AP40" s="1">
        <f t="shared" si="24"/>
        <v>-4.4365951901530827E-4</v>
      </c>
      <c r="AT40" s="56"/>
      <c r="AU40" s="56"/>
    </row>
    <row r="41" spans="2:47" x14ac:dyDescent="0.3">
      <c r="B41" s="1">
        <v>0.12280159661020906</v>
      </c>
      <c r="C41" s="1"/>
      <c r="D41" s="4"/>
      <c r="E41" s="1"/>
      <c r="G41" s="4"/>
      <c r="H41" s="4"/>
      <c r="I41" s="1">
        <f t="shared" si="9"/>
        <v>5.0045240696390048</v>
      </c>
      <c r="M41" s="1">
        <f t="shared" si="0"/>
        <v>0.43846036723560777</v>
      </c>
      <c r="N41" s="1">
        <f t="shared" si="1"/>
        <v>1.1415473917174979</v>
      </c>
      <c r="O41" s="1">
        <f t="shared" si="2"/>
        <v>1.2364101469506037</v>
      </c>
      <c r="P41" s="1">
        <f t="shared" si="3"/>
        <v>1.1497876103557398</v>
      </c>
      <c r="R41" s="21">
        <f t="shared" si="10"/>
        <v>0.43846036723560777</v>
      </c>
      <c r="S41" s="21">
        <f t="shared" si="11"/>
        <v>1.1415473917174979</v>
      </c>
      <c r="T41" s="21">
        <f t="shared" si="12"/>
        <v>1.2364101469506037</v>
      </c>
      <c r="U41" s="21">
        <f t="shared" si="13"/>
        <v>1.1497876103557398</v>
      </c>
      <c r="Y41" s="21">
        <f t="shared" si="14"/>
        <v>4.9918159292820219</v>
      </c>
      <c r="Z41" s="21">
        <f t="shared" si="15"/>
        <v>4.9918159292820219</v>
      </c>
      <c r="AB41" s="21">
        <f t="shared" si="4"/>
        <v>1.2708140356982867E-2</v>
      </c>
      <c r="AD41" s="1">
        <f t="shared" si="16"/>
        <v>-1.3331883813813642E-4</v>
      </c>
      <c r="AE41" s="1">
        <f t="shared" si="5"/>
        <v>-1.6371766181581185E-5</v>
      </c>
      <c r="AF41" s="1">
        <f t="shared" si="17"/>
        <v>-9.4091064479101723E-5</v>
      </c>
      <c r="AG41" s="1">
        <f t="shared" si="6"/>
        <v>-1.155453294478782E-5</v>
      </c>
      <c r="AH41" s="1">
        <f t="shared" si="18"/>
        <v>-1.6240513868295045E-4</v>
      </c>
      <c r="AI41" s="1">
        <f t="shared" si="7"/>
        <v>-1.9943610327968739E-5</v>
      </c>
      <c r="AJ41" s="1">
        <f t="shared" si="19"/>
        <v>-1.0287197548115351E-4</v>
      </c>
      <c r="AK41" s="1">
        <f t="shared" si="8"/>
        <v>-1.2632842835531931E-5</v>
      </c>
      <c r="AL41" s="1">
        <f t="shared" si="20"/>
        <v>-1.2458961134296929E-4</v>
      </c>
      <c r="AM41" s="1">
        <f t="shared" si="21"/>
        <v>-5.4627606743179954E-5</v>
      </c>
      <c r="AN41" s="1">
        <f t="shared" si="22"/>
        <v>-1.4222494586366337E-4</v>
      </c>
      <c r="AO41" s="1">
        <f t="shared" si="23"/>
        <v>-1.5404385966907925E-4</v>
      </c>
      <c r="AP41" s="1">
        <f t="shared" si="24"/>
        <v>-1.4325159150118302E-4</v>
      </c>
      <c r="AT41" s="4"/>
      <c r="AU41" s="4"/>
    </row>
    <row r="42" spans="2:47" x14ac:dyDescent="0.3">
      <c r="B42" s="1">
        <v>0.21385637967402926</v>
      </c>
      <c r="C42" s="1"/>
      <c r="D42" s="4"/>
      <c r="E42" s="1"/>
      <c r="G42" s="4"/>
      <c r="H42" s="4"/>
      <c r="I42" s="1">
        <f t="shared" si="9"/>
        <v>5.0137203653381848</v>
      </c>
      <c r="M42" s="1">
        <f t="shared" si="0"/>
        <v>0.46614811342305507</v>
      </c>
      <c r="N42" s="1">
        <f t="shared" si="1"/>
        <v>1.1818300751086002</v>
      </c>
      <c r="O42" s="1">
        <f t="shared" si="2"/>
        <v>1.2054142335771614</v>
      </c>
      <c r="P42" s="1">
        <f t="shared" si="3"/>
        <v>1.1588646647277578</v>
      </c>
      <c r="R42" s="21">
        <f t="shared" si="10"/>
        <v>0.46614811342305507</v>
      </c>
      <c r="S42" s="21">
        <f t="shared" si="11"/>
        <v>1.1818300751086002</v>
      </c>
      <c r="T42" s="21">
        <f t="shared" si="12"/>
        <v>1.2054142335771614</v>
      </c>
      <c r="U42" s="21">
        <f t="shared" si="13"/>
        <v>1.1588646647277578</v>
      </c>
      <c r="Y42" s="21">
        <f t="shared" si="14"/>
        <v>5.018956375271455</v>
      </c>
      <c r="Z42" s="21">
        <f t="shared" si="15"/>
        <v>5.018956375271455</v>
      </c>
      <c r="AB42" s="21">
        <f t="shared" si="4"/>
        <v>-5.2360099332702248E-3</v>
      </c>
      <c r="AD42" s="1">
        <f t="shared" si="16"/>
        <v>5.4930048077393037E-5</v>
      </c>
      <c r="AE42" s="1">
        <f t="shared" si="5"/>
        <v>1.1747141217151646E-5</v>
      </c>
      <c r="AF42" s="1">
        <f t="shared" si="17"/>
        <v>3.8767414775509467E-5</v>
      </c>
      <c r="AG42" s="1">
        <f t="shared" si="6"/>
        <v>8.2906589732119253E-6</v>
      </c>
      <c r="AH42" s="1">
        <f t="shared" si="18"/>
        <v>6.6914190075875575E-5</v>
      </c>
      <c r="AI42" s="1">
        <f t="shared" si="7"/>
        <v>1.4310026438446608E-5</v>
      </c>
      <c r="AJ42" s="1">
        <f t="shared" si="19"/>
        <v>4.2385327069391361E-5</v>
      </c>
      <c r="AK42" s="1">
        <f t="shared" si="8"/>
        <v>9.0643725983596687E-6</v>
      </c>
      <c r="AL42" s="1">
        <f t="shared" si="20"/>
        <v>5.1333430718335535E-5</v>
      </c>
      <c r="AM42" s="1">
        <f t="shared" si="21"/>
        <v>2.3928981884885212E-5</v>
      </c>
      <c r="AN42" s="1">
        <f t="shared" si="22"/>
        <v>6.0667392281432605E-5</v>
      </c>
      <c r="AO42" s="1">
        <f t="shared" si="23"/>
        <v>6.1878048046228745E-5</v>
      </c>
      <c r="AP42" s="1">
        <f t="shared" si="24"/>
        <v>5.9488498978729494E-5</v>
      </c>
      <c r="AT42" s="4"/>
      <c r="AU42" s="4"/>
    </row>
    <row r="43" spans="2:47" x14ac:dyDescent="0.3">
      <c r="B43" s="1">
        <v>0.22865907304015309</v>
      </c>
      <c r="C43" s="1"/>
      <c r="D43" s="4"/>
      <c r="E43" s="1"/>
      <c r="G43" s="4"/>
      <c r="H43" s="4"/>
      <c r="I43" s="1">
        <f t="shared" si="9"/>
        <v>5.0156854915050744</v>
      </c>
      <c r="M43" s="1">
        <f t="shared" si="0"/>
        <v>0.47064928516847104</v>
      </c>
      <c r="N43" s="1">
        <f t="shared" si="1"/>
        <v>1.1883787943536419</v>
      </c>
      <c r="O43" s="1">
        <f t="shared" si="2"/>
        <v>1.2003752560975443</v>
      </c>
      <c r="P43" s="1">
        <f t="shared" si="3"/>
        <v>1.1603403132111818</v>
      </c>
      <c r="R43" s="21">
        <f t="shared" si="10"/>
        <v>0.47064928516847104</v>
      </c>
      <c r="S43" s="21">
        <f t="shared" si="11"/>
        <v>1.1883787943536419</v>
      </c>
      <c r="T43" s="21">
        <f t="shared" si="12"/>
        <v>1.2003752560975443</v>
      </c>
      <c r="U43" s="21">
        <f t="shared" si="13"/>
        <v>1.1603403132111818</v>
      </c>
      <c r="Y43" s="21">
        <f t="shared" si="14"/>
        <v>5.0233685729208606</v>
      </c>
      <c r="Z43" s="21">
        <f t="shared" si="15"/>
        <v>5.0233685729208606</v>
      </c>
      <c r="AB43" s="21">
        <f t="shared" si="4"/>
        <v>-7.6830814157862193E-3</v>
      </c>
      <c r="AD43" s="1">
        <f t="shared" si="16"/>
        <v>8.0601839364364197E-5</v>
      </c>
      <c r="AE43" s="1">
        <f t="shared" si="5"/>
        <v>1.843034187438684E-5</v>
      </c>
      <c r="AF43" s="1">
        <f t="shared" si="17"/>
        <v>5.6885530737288809E-5</v>
      </c>
      <c r="AG43" s="1">
        <f t="shared" si="6"/>
        <v>1.3007392727785596E-5</v>
      </c>
      <c r="AH43" s="1">
        <f t="shared" si="18"/>
        <v>9.8186821029052807E-5</v>
      </c>
      <c r="AI43" s="1">
        <f t="shared" si="7"/>
        <v>2.2451307481262625E-5</v>
      </c>
      <c r="AJ43" s="1">
        <f t="shared" si="19"/>
        <v>6.2194289708971583E-5</v>
      </c>
      <c r="AK43" s="1">
        <f t="shared" si="8"/>
        <v>1.4221288633244175E-5</v>
      </c>
      <c r="AL43" s="1">
        <f t="shared" si="20"/>
        <v>7.5324327605747244E-5</v>
      </c>
      <c r="AM43" s="1">
        <f t="shared" si="21"/>
        <v>3.5451340943440672E-5</v>
      </c>
      <c r="AN43" s="1">
        <f t="shared" si="22"/>
        <v>8.9513833625616651E-5</v>
      </c>
      <c r="AO43" s="1">
        <f t="shared" si="23"/>
        <v>9.0417459040124175E-5</v>
      </c>
      <c r="AP43" s="1">
        <f t="shared" si="24"/>
        <v>8.7401853886474425E-5</v>
      </c>
      <c r="AT43" s="4"/>
      <c r="AU43" s="4"/>
    </row>
    <row r="44" spans="2:47" x14ac:dyDescent="0.3">
      <c r="B44" s="1">
        <v>0.55394065206026699</v>
      </c>
      <c r="C44" s="1"/>
      <c r="D44" s="4"/>
      <c r="E44" s="1"/>
      <c r="G44" s="4"/>
      <c r="H44" s="4"/>
      <c r="I44" s="1">
        <f t="shared" si="9"/>
        <v>5.092055073801486</v>
      </c>
      <c r="M44" s="1">
        <f t="shared" si="0"/>
        <v>0.56956022094049397</v>
      </c>
      <c r="N44" s="1">
        <f t="shared" si="1"/>
        <v>1.3322835341127939</v>
      </c>
      <c r="O44" s="1">
        <f t="shared" si="2"/>
        <v>1.0896463157164853</v>
      </c>
      <c r="P44" s="1">
        <f t="shared" si="3"/>
        <v>1.192766930239219</v>
      </c>
      <c r="R44" s="21">
        <f t="shared" si="10"/>
        <v>0.56956022094049397</v>
      </c>
      <c r="S44" s="21">
        <f t="shared" si="11"/>
        <v>1.3322835341127939</v>
      </c>
      <c r="T44" s="21">
        <f t="shared" si="12"/>
        <v>1.0896463157164853</v>
      </c>
      <c r="U44" s="21">
        <f t="shared" si="13"/>
        <v>1.192766930239219</v>
      </c>
      <c r="Y44" s="21">
        <f t="shared" si="14"/>
        <v>5.1203243486604517</v>
      </c>
      <c r="Z44" s="21">
        <f t="shared" si="15"/>
        <v>5.1203243486604517</v>
      </c>
      <c r="AB44" s="21">
        <f t="shared" si="4"/>
        <v>-2.8269274858965687E-2</v>
      </c>
      <c r="AD44" s="1">
        <f t="shared" si="16"/>
        <v>2.9656792995161097E-4</v>
      </c>
      <c r="AE44" s="1">
        <f t="shared" si="5"/>
        <v>1.6428103249755896E-4</v>
      </c>
      <c r="AF44" s="1">
        <f t="shared" si="17"/>
        <v>2.0930569609823641E-4</v>
      </c>
      <c r="AG44" s="1">
        <f t="shared" si="6"/>
        <v>1.1594293377658516E-4</v>
      </c>
      <c r="AH44" s="1">
        <f t="shared" si="18"/>
        <v>3.6127044358729191E-4</v>
      </c>
      <c r="AI44" s="1">
        <f t="shared" si="7"/>
        <v>2.001223850908464E-4</v>
      </c>
      <c r="AJ44" s="1">
        <f t="shared" si="19"/>
        <v>2.2883884411644507E-4</v>
      </c>
      <c r="AK44" s="1">
        <f t="shared" si="8"/>
        <v>1.2676313852658138E-4</v>
      </c>
      <c r="AL44" s="1">
        <f t="shared" si="20"/>
        <v>2.7714975351927142E-4</v>
      </c>
      <c r="AM44" s="1">
        <f t="shared" si="21"/>
        <v>1.5785347484803967E-4</v>
      </c>
      <c r="AN44" s="1">
        <f t="shared" si="22"/>
        <v>3.6924205309714467E-4</v>
      </c>
      <c r="AO44" s="1">
        <f t="shared" si="23"/>
        <v>3.019952078240061E-4</v>
      </c>
      <c r="AP44" s="1">
        <f t="shared" si="24"/>
        <v>3.3057506072173753E-4</v>
      </c>
      <c r="AT44" s="4"/>
      <c r="AU44" s="4"/>
    </row>
    <row r="45" spans="2:47" x14ac:dyDescent="0.3">
      <c r="B45" s="1">
        <v>2.5386945708653519E-2</v>
      </c>
      <c r="C45" s="1"/>
      <c r="D45" s="4"/>
      <c r="E45" s="1"/>
      <c r="G45" s="4"/>
      <c r="H45" s="4"/>
      <c r="I45" s="1">
        <f t="shared" si="9"/>
        <v>5.000193349103724</v>
      </c>
      <c r="M45" s="1">
        <f t="shared" si="0"/>
        <v>0.40883872586383496</v>
      </c>
      <c r="N45" s="1">
        <f t="shared" si="1"/>
        <v>1.0984510994867898</v>
      </c>
      <c r="O45" s="1">
        <f t="shared" si="2"/>
        <v>1.2695710197685908</v>
      </c>
      <c r="P45" s="1">
        <f t="shared" si="3"/>
        <v>1.1400765545153801</v>
      </c>
      <c r="R45" s="21">
        <f t="shared" si="10"/>
        <v>0.40883872586383496</v>
      </c>
      <c r="S45" s="21">
        <f t="shared" si="11"/>
        <v>1.0984510994867898</v>
      </c>
      <c r="T45" s="21">
        <f t="shared" si="12"/>
        <v>1.2695710197685908</v>
      </c>
      <c r="U45" s="21">
        <f t="shared" si="13"/>
        <v>1.1400765545153801</v>
      </c>
      <c r="Y45" s="21">
        <f t="shared" si="14"/>
        <v>4.9627798151712454</v>
      </c>
      <c r="Z45" s="21">
        <f t="shared" si="15"/>
        <v>4.9627798151712454</v>
      </c>
      <c r="AB45" s="21">
        <f t="shared" si="4"/>
        <v>3.7413533932478593E-2</v>
      </c>
      <c r="AD45" s="1">
        <f t="shared" si="16"/>
        <v>-3.9249872399930037E-4</v>
      </c>
      <c r="AE45" s="1">
        <f t="shared" si="5"/>
        <v>-9.9643437968860198E-6</v>
      </c>
      <c r="AF45" s="1">
        <f t="shared" si="17"/>
        <v>-2.7700978544021047E-4</v>
      </c>
      <c r="AG45" s="1">
        <f t="shared" si="6"/>
        <v>-7.0324323837363834E-6</v>
      </c>
      <c r="AH45" s="1">
        <f t="shared" si="18"/>
        <v>-4.7813055224753921E-4</v>
      </c>
      <c r="AI45" s="1">
        <f t="shared" si="7"/>
        <v>-1.2138274371556802E-5</v>
      </c>
      <c r="AJ45" s="1">
        <f t="shared" si="19"/>
        <v>-3.0286131859177983E-4</v>
      </c>
      <c r="AK45" s="1">
        <f t="shared" si="8"/>
        <v>-7.6887238523407312E-6</v>
      </c>
      <c r="AL45" s="1">
        <f t="shared" si="20"/>
        <v>-3.6679935227920191E-4</v>
      </c>
      <c r="AM45" s="1">
        <f t="shared" si="21"/>
        <v>-1.4996177983350885E-4</v>
      </c>
      <c r="AN45" s="1">
        <f t="shared" si="22"/>
        <v>-4.0291115180213167E-4</v>
      </c>
      <c r="AO45" s="1">
        <f t="shared" si="23"/>
        <v>-4.6567782772356493E-4</v>
      </c>
      <c r="AP45" s="1">
        <f t="shared" si="24"/>
        <v>-4.1817934174494568E-4</v>
      </c>
    </row>
    <row r="46" spans="2:47" x14ac:dyDescent="0.3">
      <c r="B46" s="1">
        <v>2.012938918436169E-2</v>
      </c>
      <c r="C46" s="1"/>
      <c r="D46" s="4"/>
      <c r="E46" s="1"/>
      <c r="G46" s="4"/>
      <c r="H46" s="4"/>
      <c r="I46" s="1">
        <f t="shared" si="9"/>
        <v>5.0001215576926805</v>
      </c>
      <c r="M46" s="1">
        <f t="shared" si="0"/>
        <v>0.4072400191763596</v>
      </c>
      <c r="N46" s="1">
        <f t="shared" si="1"/>
        <v>1.0961251537456369</v>
      </c>
      <c r="O46" s="1">
        <f t="shared" si="2"/>
        <v>1.2713607419676838</v>
      </c>
      <c r="P46" s="1">
        <f t="shared" si="3"/>
        <v>1.1395524400775752</v>
      </c>
      <c r="R46" s="21">
        <f t="shared" si="10"/>
        <v>0.4072400191763596</v>
      </c>
      <c r="S46" s="21">
        <f t="shared" si="11"/>
        <v>1.0961251537456369</v>
      </c>
      <c r="T46" s="21">
        <f t="shared" si="12"/>
        <v>1.2713607419676838</v>
      </c>
      <c r="U46" s="21">
        <f t="shared" si="13"/>
        <v>1.1395524400775752</v>
      </c>
      <c r="Y46" s="21">
        <f t="shared" si="14"/>
        <v>4.9612127099178736</v>
      </c>
      <c r="Z46" s="21">
        <f t="shared" si="15"/>
        <v>4.9612127099178736</v>
      </c>
      <c r="AB46" s="21">
        <f t="shared" si="4"/>
        <v>3.8908847774806965E-2</v>
      </c>
      <c r="AD46" s="1">
        <f t="shared" si="16"/>
        <v>-4.0818579531824045E-4</v>
      </c>
      <c r="AE46" s="1">
        <f t="shared" si="5"/>
        <v>-8.2165307334890637E-6</v>
      </c>
      <c r="AF46" s="1">
        <f t="shared" si="17"/>
        <v>-2.8808108833762474E-4</v>
      </c>
      <c r="AG46" s="1">
        <f t="shared" si="6"/>
        <v>-5.7988963438025278E-6</v>
      </c>
      <c r="AH46" s="1">
        <f t="shared" si="18"/>
        <v>-4.9724008716894375E-4</v>
      </c>
      <c r="AI46" s="1">
        <f t="shared" si="7"/>
        <v>-1.00091392326896E-5</v>
      </c>
      <c r="AJ46" s="1">
        <f t="shared" si="19"/>
        <v>-3.1496583464240001E-4</v>
      </c>
      <c r="AK46" s="1">
        <f t="shared" si="8"/>
        <v>-6.3400698652941796E-6</v>
      </c>
      <c r="AL46" s="1">
        <f t="shared" si="20"/>
        <v>-3.814592919098722E-4</v>
      </c>
      <c r="AM46" s="1">
        <f t="shared" si="21"/>
        <v>-1.5534548935237691E-4</v>
      </c>
      <c r="AN46" s="1">
        <f t="shared" si="22"/>
        <v>-4.1812712499241048E-4</v>
      </c>
      <c r="AO46" s="1">
        <f t="shared" si="23"/>
        <v>-4.8497236839300243E-4</v>
      </c>
      <c r="AP46" s="1">
        <f t="shared" si="24"/>
        <v>-4.3469286688615892E-4</v>
      </c>
    </row>
    <row r="47" spans="2:47" x14ac:dyDescent="0.3">
      <c r="B47" s="1">
        <v>0.47926281160363438</v>
      </c>
      <c r="C47" s="1"/>
      <c r="D47" s="4"/>
      <c r="E47" s="1"/>
      <c r="G47" s="4"/>
      <c r="H47" s="4"/>
      <c r="I47" s="1">
        <f t="shared" si="9"/>
        <v>5.0689078527758662</v>
      </c>
      <c r="M47" s="1">
        <f t="shared" si="0"/>
        <v>0.5468523408839272</v>
      </c>
      <c r="N47" s="1">
        <f t="shared" si="1"/>
        <v>1.299246018649852</v>
      </c>
      <c r="O47" s="1">
        <f t="shared" si="2"/>
        <v>1.1150673622098601</v>
      </c>
      <c r="P47" s="1">
        <f t="shared" si="3"/>
        <v>1.1853224578523631</v>
      </c>
      <c r="R47" s="21">
        <f t="shared" si="10"/>
        <v>0.5468523408839272</v>
      </c>
      <c r="S47" s="21">
        <f t="shared" si="11"/>
        <v>1.299246018649852</v>
      </c>
      <c r="T47" s="21">
        <f t="shared" si="12"/>
        <v>1.1150673622098601</v>
      </c>
      <c r="U47" s="21">
        <f t="shared" si="13"/>
        <v>1.1853224578523631</v>
      </c>
      <c r="Y47" s="21">
        <f t="shared" si="14"/>
        <v>5.0980653324141532</v>
      </c>
      <c r="Z47" s="21">
        <f t="shared" si="15"/>
        <v>5.0980653324141532</v>
      </c>
      <c r="AB47" s="21">
        <f t="shared" si="4"/>
        <v>-2.9157479638286965E-2</v>
      </c>
      <c r="AD47" s="1">
        <f t="shared" si="16"/>
        <v>3.0588592817019271E-4</v>
      </c>
      <c r="AE47" s="1">
        <f t="shared" si="5"/>
        <v>1.4659974996483391E-4</v>
      </c>
      <c r="AF47" s="1">
        <f t="shared" si="17"/>
        <v>2.1588196381437346E-4</v>
      </c>
      <c r="AG47" s="1">
        <f t="shared" si="6"/>
        <v>1.0346419695219068E-4</v>
      </c>
      <c r="AH47" s="1">
        <f t="shared" si="18"/>
        <v>3.7262135853727274E-4</v>
      </c>
      <c r="AI47" s="1">
        <f t="shared" si="7"/>
        <v>1.7858355995613924E-4</v>
      </c>
      <c r="AJ47" s="1">
        <f t="shared" si="19"/>
        <v>2.360288324006377E-4</v>
      </c>
      <c r="AK47" s="1">
        <f t="shared" si="8"/>
        <v>1.1311984183585261E-4</v>
      </c>
      <c r="AL47" s="1">
        <f t="shared" si="20"/>
        <v>2.8585764351261731E-4</v>
      </c>
      <c r="AM47" s="1">
        <f t="shared" si="21"/>
        <v>1.5632192151443795E-4</v>
      </c>
      <c r="AN47" s="1">
        <f t="shared" si="22"/>
        <v>3.7139940523439672E-4</v>
      </c>
      <c r="AO47" s="1">
        <f t="shared" si="23"/>
        <v>3.1875052851914075E-4</v>
      </c>
      <c r="AP47" s="1">
        <f t="shared" si="24"/>
        <v>3.3883348460426018E-4</v>
      </c>
    </row>
    <row r="48" spans="2:47" x14ac:dyDescent="0.3">
      <c r="B48" s="1">
        <v>0.87397024656523792</v>
      </c>
      <c r="C48" s="1"/>
      <c r="D48" s="4"/>
      <c r="E48" s="1"/>
      <c r="G48" s="4"/>
      <c r="H48" s="4"/>
      <c r="I48" s="1">
        <f t="shared" si="9"/>
        <v>5.2291471975643908</v>
      </c>
      <c r="M48" s="1">
        <f t="shared" si="0"/>
        <v>0.66687414434981906</v>
      </c>
      <c r="N48" s="1">
        <f t="shared" si="1"/>
        <v>1.4738647931905393</v>
      </c>
      <c r="O48" s="1">
        <f t="shared" si="2"/>
        <v>0.98070520076965906</v>
      </c>
      <c r="P48" s="1">
        <f t="shared" si="3"/>
        <v>1.2246699882909908</v>
      </c>
      <c r="R48" s="21">
        <f t="shared" si="10"/>
        <v>0.66687414434981906</v>
      </c>
      <c r="S48" s="21">
        <f t="shared" si="11"/>
        <v>1.4738647931905393</v>
      </c>
      <c r="T48" s="21">
        <f t="shared" si="12"/>
        <v>0.98070520076965906</v>
      </c>
      <c r="U48" s="21">
        <f t="shared" si="13"/>
        <v>1.2246699882909908</v>
      </c>
      <c r="Y48" s="21">
        <f t="shared" si="14"/>
        <v>5.2157146799799428</v>
      </c>
      <c r="Z48" s="21">
        <f t="shared" si="15"/>
        <v>5.2157146799799428</v>
      </c>
      <c r="AB48" s="21">
        <f t="shared" si="4"/>
        <v>1.3432517584448078E-2</v>
      </c>
      <c r="AD48" s="1">
        <f t="shared" si="16"/>
        <v>-1.4091815067534188E-4</v>
      </c>
      <c r="AE48" s="1">
        <f t="shared" si="5"/>
        <v>-1.2315827089124588E-4</v>
      </c>
      <c r="AF48" s="1">
        <f t="shared" si="17"/>
        <v>-9.9454353087979184E-5</v>
      </c>
      <c r="AG48" s="1">
        <f t="shared" si="6"/>
        <v>-8.6920145490287394E-5</v>
      </c>
      <c r="AH48" s="1">
        <f t="shared" si="18"/>
        <v>-1.716624006253413E-4</v>
      </c>
      <c r="AI48" s="1">
        <f t="shared" si="7"/>
        <v>-1.500278306005102E-4</v>
      </c>
      <c r="AJ48" s="1">
        <f t="shared" si="19"/>
        <v>-1.0873578515665501E-4</v>
      </c>
      <c r="AK48" s="1">
        <f t="shared" si="8"/>
        <v>-9.5031840963826509E-5</v>
      </c>
      <c r="AL48" s="1">
        <f t="shared" si="20"/>
        <v>-1.3169134886713803E-4</v>
      </c>
      <c r="AM48" s="1">
        <f t="shared" si="21"/>
        <v>-8.7821555594046191E-5</v>
      </c>
      <c r="AN48" s="1">
        <f t="shared" si="22"/>
        <v>-1.9409524266304757E-4</v>
      </c>
      <c r="AO48" s="1">
        <f t="shared" si="23"/>
        <v>-1.2915039073037381E-4</v>
      </c>
      <c r="AP48" s="1">
        <f t="shared" si="24"/>
        <v>-1.6127844267514271E-4</v>
      </c>
    </row>
    <row r="49" spans="2:42" x14ac:dyDescent="0.3">
      <c r="B49" s="1">
        <v>0.54422902808238349</v>
      </c>
      <c r="C49" s="1"/>
      <c r="D49" s="4"/>
      <c r="E49" s="1"/>
      <c r="G49" s="4"/>
      <c r="H49" s="4"/>
      <c r="I49" s="1">
        <f t="shared" si="9"/>
        <v>5.0888555705022487</v>
      </c>
      <c r="M49" s="1">
        <f t="shared" si="0"/>
        <v>0.56660713082573189</v>
      </c>
      <c r="N49" s="1">
        <f t="shared" si="1"/>
        <v>1.3279871066133146</v>
      </c>
      <c r="O49" s="1">
        <f t="shared" si="2"/>
        <v>1.0929522448001112</v>
      </c>
      <c r="P49" s="1">
        <f t="shared" si="3"/>
        <v>1.191798799451119</v>
      </c>
      <c r="R49" s="21">
        <f t="shared" si="10"/>
        <v>0.56660713082573189</v>
      </c>
      <c r="S49" s="21">
        <f t="shared" si="11"/>
        <v>1.3279871066133146</v>
      </c>
      <c r="T49" s="21">
        <f t="shared" si="12"/>
        <v>1.0929522448001112</v>
      </c>
      <c r="U49" s="21">
        <f t="shared" si="13"/>
        <v>1.191798799451119</v>
      </c>
      <c r="Y49" s="21">
        <f t="shared" si="14"/>
        <v>5.1174296319067292</v>
      </c>
      <c r="Z49" s="21">
        <f t="shared" si="15"/>
        <v>5.1174296319067292</v>
      </c>
      <c r="AB49" s="21">
        <f t="shared" si="4"/>
        <v>-2.8574061404480489E-2</v>
      </c>
      <c r="AD49" s="1">
        <f t="shared" si="16"/>
        <v>2.9976539134145486E-4</v>
      </c>
      <c r="AE49" s="1">
        <f t="shared" si="5"/>
        <v>1.6314102758249532E-4</v>
      </c>
      <c r="AF49" s="1">
        <f t="shared" si="17"/>
        <v>2.115623355199625E-4</v>
      </c>
      <c r="AG49" s="1">
        <f t="shared" si="6"/>
        <v>1.1513836423886831E-4</v>
      </c>
      <c r="AH49" s="1">
        <f t="shared" si="18"/>
        <v>3.6516549823750516E-4</v>
      </c>
      <c r="AI49" s="1">
        <f t="shared" si="7"/>
        <v>1.9873366419501676E-4</v>
      </c>
      <c r="AJ49" s="1">
        <f t="shared" si="19"/>
        <v>2.3130608111229364E-4</v>
      </c>
      <c r="AK49" s="1">
        <f t="shared" si="8"/>
        <v>1.2588348371328853E-4</v>
      </c>
      <c r="AL49" s="1">
        <f t="shared" si="20"/>
        <v>2.8013785690667145E-4</v>
      </c>
      <c r="AM49" s="1">
        <f t="shared" si="21"/>
        <v>1.5872810733755856E-4</v>
      </c>
      <c r="AN49" s="1">
        <f t="shared" si="22"/>
        <v>3.7201946204634537E-4</v>
      </c>
      <c r="AO49" s="1">
        <f t="shared" si="23"/>
        <v>3.061772995596389E-4</v>
      </c>
      <c r="AP49" s="1">
        <f t="shared" si="24"/>
        <v>3.3386796154218041E-4</v>
      </c>
    </row>
    <row r="50" spans="2:42" x14ac:dyDescent="0.3">
      <c r="B50" s="1">
        <v>3.1667314077955533E-3</v>
      </c>
      <c r="C50" s="1"/>
      <c r="D50" s="4"/>
      <c r="E50" s="1"/>
      <c r="G50" s="4"/>
      <c r="H50" s="4"/>
      <c r="I50" s="1">
        <f t="shared" si="9"/>
        <v>5.0000030084563427</v>
      </c>
      <c r="M50" s="1">
        <f t="shared" si="0"/>
        <v>0.40208205001341174</v>
      </c>
      <c r="N50" s="1">
        <f t="shared" si="1"/>
        <v>1.0886208651218741</v>
      </c>
      <c r="O50" s="1">
        <f t="shared" si="2"/>
        <v>1.2771349918569761</v>
      </c>
      <c r="P50" s="1">
        <f t="shared" si="3"/>
        <v>1.1378614694140801</v>
      </c>
      <c r="R50" s="21">
        <f t="shared" si="10"/>
        <v>0.40208205001341174</v>
      </c>
      <c r="S50" s="21">
        <f t="shared" si="11"/>
        <v>1.0886208651218741</v>
      </c>
      <c r="T50" s="21">
        <f t="shared" si="12"/>
        <v>1.2771349918569761</v>
      </c>
      <c r="U50" s="21">
        <f t="shared" si="13"/>
        <v>1.1378614694140801</v>
      </c>
      <c r="Y50" s="21">
        <f t="shared" si="14"/>
        <v>4.9561566976829159</v>
      </c>
      <c r="Z50" s="21">
        <f t="shared" si="15"/>
        <v>4.9561566976829159</v>
      </c>
      <c r="AB50" s="21">
        <f t="shared" si="4"/>
        <v>4.3846310773426822E-2</v>
      </c>
      <c r="AD50" s="1">
        <f t="shared" si="16"/>
        <v>-4.5998384065257133E-4</v>
      </c>
      <c r="AE50" s="1">
        <f t="shared" si="5"/>
        <v>-1.4566452752729227E-6</v>
      </c>
      <c r="AF50" s="1">
        <f t="shared" si="17"/>
        <v>-3.2463806176694695E-4</v>
      </c>
      <c r="AG50" s="1">
        <f t="shared" si="6"/>
        <v>-1.0280415463632637E-6</v>
      </c>
      <c r="AH50" s="1">
        <f t="shared" si="18"/>
        <v>-5.6033896241800278E-4</v>
      </c>
      <c r="AI50" s="1">
        <f t="shared" si="7"/>
        <v>-1.7744429913006616E-6</v>
      </c>
      <c r="AJ50" s="1">
        <f t="shared" si="19"/>
        <v>-3.5493443415932535E-4</v>
      </c>
      <c r="AK50" s="1">
        <f t="shared" si="8"/>
        <v>-1.1239820203604785E-6</v>
      </c>
      <c r="AL50" s="1">
        <f t="shared" si="20"/>
        <v>-4.2986579189634139E-4</v>
      </c>
      <c r="AM50" s="1">
        <f t="shared" si="21"/>
        <v>-1.7284131883631959E-4</v>
      </c>
      <c r="AN50" s="1">
        <f t="shared" si="22"/>
        <v>-4.6796087026049465E-4</v>
      </c>
      <c r="AO50" s="1">
        <f t="shared" si="23"/>
        <v>-5.4899664463312656E-4</v>
      </c>
      <c r="AP50" s="1">
        <f t="shared" si="24"/>
        <v>-4.8912772161801817E-4</v>
      </c>
    </row>
    <row r="51" spans="2:42" x14ac:dyDescent="0.3">
      <c r="B51" s="1">
        <v>0.53100495867513098</v>
      </c>
      <c r="C51" s="1"/>
      <c r="D51" s="4"/>
      <c r="E51" s="1"/>
      <c r="G51" s="4"/>
      <c r="H51" s="4"/>
      <c r="I51" s="1">
        <f t="shared" si="9"/>
        <v>5.084589879841273</v>
      </c>
      <c r="M51" s="1">
        <f t="shared" si="0"/>
        <v>0.56258598372073509</v>
      </c>
      <c r="N51" s="1">
        <f t="shared" si="1"/>
        <v>1.3221367714288252</v>
      </c>
      <c r="O51" s="1">
        <f t="shared" si="2"/>
        <v>1.0974538436837666</v>
      </c>
      <c r="P51" s="1">
        <f t="shared" si="3"/>
        <v>1.1904805205755893</v>
      </c>
      <c r="R51" s="21">
        <f t="shared" si="10"/>
        <v>0.56258598372073509</v>
      </c>
      <c r="S51" s="21">
        <f t="shared" si="11"/>
        <v>1.3221367714288252</v>
      </c>
      <c r="T51" s="21">
        <f t="shared" si="12"/>
        <v>1.0974538436837666</v>
      </c>
      <c r="U51" s="21">
        <f t="shared" si="13"/>
        <v>1.1904805205755893</v>
      </c>
      <c r="Y51" s="21">
        <f t="shared" si="14"/>
        <v>5.1134879703110219</v>
      </c>
      <c r="Z51" s="21">
        <f t="shared" si="15"/>
        <v>5.1134879703110219</v>
      </c>
      <c r="AB51" s="21">
        <f t="shared" si="4"/>
        <v>-2.8898090469748894E-2</v>
      </c>
      <c r="AD51" s="1">
        <f t="shared" si="16"/>
        <v>3.031647225804141E-4</v>
      </c>
      <c r="AE51" s="1">
        <f t="shared" si="5"/>
        <v>1.6098197098557033E-4</v>
      </c>
      <c r="AF51" s="1">
        <f t="shared" si="17"/>
        <v>2.1396144654776288E-4</v>
      </c>
      <c r="AG51" s="1">
        <f t="shared" si="6"/>
        <v>1.1361458908216608E-4</v>
      </c>
      <c r="AH51" s="1">
        <f t="shared" si="18"/>
        <v>3.6930646487809676E-4</v>
      </c>
      <c r="AI51" s="1">
        <f t="shared" si="7"/>
        <v>1.9610356412105249E-4</v>
      </c>
      <c r="AJ51" s="1">
        <f t="shared" si="19"/>
        <v>2.3392908566851546E-4</v>
      </c>
      <c r="AK51" s="1">
        <f t="shared" si="8"/>
        <v>1.2421750446832124E-4</v>
      </c>
      <c r="AL51" s="1">
        <f t="shared" si="20"/>
        <v>2.8331461244851855E-4</v>
      </c>
      <c r="AM51" s="1">
        <f t="shared" si="21"/>
        <v>1.5938882994680862E-4</v>
      </c>
      <c r="AN51" s="1">
        <f t="shared" si="22"/>
        <v>3.7458066700129318E-4</v>
      </c>
      <c r="AO51" s="1">
        <f t="shared" si="23"/>
        <v>3.1092471040340339E-4</v>
      </c>
      <c r="AP51" s="1">
        <f t="shared" si="24"/>
        <v>3.372805273143837E-4</v>
      </c>
    </row>
    <row r="52" spans="2:42" x14ac:dyDescent="0.3">
      <c r="B52" s="1">
        <v>0.28551775952481184</v>
      </c>
      <c r="C52" s="1"/>
      <c r="D52" s="4"/>
      <c r="E52" s="1"/>
      <c r="G52" s="4"/>
      <c r="H52" s="4"/>
      <c r="I52" s="1">
        <f t="shared" si="9"/>
        <v>5.0244561173012201</v>
      </c>
      <c r="M52" s="1">
        <f t="shared" si="0"/>
        <v>0.48793875450733548</v>
      </c>
      <c r="N52" s="1">
        <f t="shared" si="1"/>
        <v>1.2135331068304516</v>
      </c>
      <c r="O52" s="1">
        <f t="shared" si="2"/>
        <v>1.1810200189369555</v>
      </c>
      <c r="P52" s="1">
        <f t="shared" si="3"/>
        <v>1.1660084326814246</v>
      </c>
      <c r="R52" s="21">
        <f t="shared" si="10"/>
        <v>0.48793875450733548</v>
      </c>
      <c r="S52" s="21">
        <f t="shared" si="11"/>
        <v>1.2135331068304516</v>
      </c>
      <c r="T52" s="21">
        <f t="shared" si="12"/>
        <v>1.1810200189369555</v>
      </c>
      <c r="U52" s="21">
        <f t="shared" si="13"/>
        <v>1.1660084326814246</v>
      </c>
      <c r="Y52" s="21">
        <f t="shared" si="14"/>
        <v>5.0403162834929178</v>
      </c>
      <c r="Z52" s="21">
        <f t="shared" si="15"/>
        <v>5.0403162834929178</v>
      </c>
      <c r="AB52" s="21">
        <f t="shared" si="4"/>
        <v>-1.5860166191697722E-2</v>
      </c>
      <c r="AD52" s="1">
        <f t="shared" si="16"/>
        <v>1.6638618003562099E-4</v>
      </c>
      <c r="AE52" s="1">
        <f t="shared" si="5"/>
        <v>4.7506209339662482E-5</v>
      </c>
      <c r="AF52" s="1">
        <f t="shared" si="17"/>
        <v>1.1742866209156328E-4</v>
      </c>
      <c r="AG52" s="1">
        <f t="shared" si="6"/>
        <v>3.3527968504379356E-5</v>
      </c>
      <c r="AH52" s="1">
        <f t="shared" si="18"/>
        <v>2.0268681471415881E-4</v>
      </c>
      <c r="AI52" s="1">
        <f t="shared" si="7"/>
        <v>5.7870685222407291E-5</v>
      </c>
      <c r="AJ52" s="1">
        <f t="shared" si="19"/>
        <v>1.2838752026395701E-4</v>
      </c>
      <c r="AK52" s="1">
        <f t="shared" si="8"/>
        <v>3.6656917136711387E-5</v>
      </c>
      <c r="AL52" s="1">
        <f t="shared" si="20"/>
        <v>1.5549182540880118E-4</v>
      </c>
      <c r="AM52" s="1">
        <f t="shared" si="21"/>
        <v>7.5870487626042508E-5</v>
      </c>
      <c r="AN52" s="1">
        <f t="shared" si="22"/>
        <v>1.8869447797508065E-4</v>
      </c>
      <c r="AO52" s="1">
        <f t="shared" si="23"/>
        <v>1.8363895858884415E-4</v>
      </c>
      <c r="AP52" s="1">
        <f t="shared" si="24"/>
        <v>1.8130477963968999E-4</v>
      </c>
    </row>
    <row r="53" spans="2:42" x14ac:dyDescent="0.3">
      <c r="B53" s="1">
        <v>0.69696460827100792</v>
      </c>
      <c r="C53" s="1"/>
      <c r="D53" s="4"/>
      <c r="E53" s="1"/>
      <c r="G53" s="4"/>
      <c r="H53" s="4"/>
      <c r="I53" s="1">
        <f t="shared" si="9"/>
        <v>5.145727899554708</v>
      </c>
      <c r="M53" s="1">
        <f t="shared" si="0"/>
        <v>0.61305064357443728</v>
      </c>
      <c r="N53" s="1">
        <f t="shared" si="1"/>
        <v>1.3955574067367287</v>
      </c>
      <c r="O53" s="1">
        <f t="shared" si="2"/>
        <v>1.0409596019836336</v>
      </c>
      <c r="P53" s="1">
        <f t="shared" si="3"/>
        <v>1.2070246790728645</v>
      </c>
      <c r="R53" s="21">
        <f t="shared" si="10"/>
        <v>0.61305064357443728</v>
      </c>
      <c r="S53" s="21">
        <f t="shared" si="11"/>
        <v>1.3955574067367287</v>
      </c>
      <c r="T53" s="21">
        <f t="shared" si="12"/>
        <v>1.0409596019836336</v>
      </c>
      <c r="U53" s="21">
        <f t="shared" si="13"/>
        <v>1.2070246790728645</v>
      </c>
      <c r="Y53" s="21">
        <f t="shared" si="14"/>
        <v>5.1629551015777571</v>
      </c>
      <c r="Z53" s="21">
        <f t="shared" si="15"/>
        <v>5.1629551015777571</v>
      </c>
      <c r="AB53" s="21">
        <f t="shared" si="4"/>
        <v>-1.722720202304906E-2</v>
      </c>
      <c r="AD53" s="1">
        <f t="shared" si="16"/>
        <v>1.807275095778949E-4</v>
      </c>
      <c r="AE53" s="1">
        <f t="shared" si="5"/>
        <v>1.2596067791675235E-4</v>
      </c>
      <c r="AF53" s="1">
        <f t="shared" si="17"/>
        <v>1.2755019466357677E-4</v>
      </c>
      <c r="AG53" s="1">
        <f t="shared" si="6"/>
        <v>8.8897971458590586E-5</v>
      </c>
      <c r="AH53" s="1">
        <f t="shared" si="18"/>
        <v>2.2015700606699387E-4</v>
      </c>
      <c r="AI53" s="1">
        <f t="shared" si="7"/>
        <v>1.534416414916003E-4</v>
      </c>
      <c r="AJ53" s="1">
        <f t="shared" si="19"/>
        <v>1.3945363006241857E-4</v>
      </c>
      <c r="AK53" s="1">
        <f t="shared" si="8"/>
        <v>9.7194244648423622E-5</v>
      </c>
      <c r="AL53" s="1">
        <f t="shared" si="20"/>
        <v>1.6889413748087312E-4</v>
      </c>
      <c r="AM53" s="1">
        <f t="shared" si="21"/>
        <v>1.0354065967859876E-4</v>
      </c>
      <c r="AN53" s="1">
        <f t="shared" si="22"/>
        <v>2.3570146451584381E-4</v>
      </c>
      <c r="AO53" s="1">
        <f t="shared" si="23"/>
        <v>1.7581197412945877E-4</v>
      </c>
      <c r="AP53" s="1">
        <f t="shared" si="24"/>
        <v>2.0385939209013914E-4</v>
      </c>
    </row>
    <row r="54" spans="2:42" x14ac:dyDescent="0.3">
      <c r="B54" s="1">
        <v>9.0955071177830638E-3</v>
      </c>
      <c r="C54" s="1"/>
      <c r="D54" s="4"/>
      <c r="E54" s="1"/>
      <c r="G54" s="4"/>
      <c r="H54" s="4"/>
      <c r="I54" s="1">
        <f t="shared" si="9"/>
        <v>5.0000248184749188</v>
      </c>
      <c r="M54" s="1">
        <f t="shared" si="0"/>
        <v>0.40388485961370896</v>
      </c>
      <c r="N54" s="1">
        <f t="shared" si="1"/>
        <v>1.0912437585799244</v>
      </c>
      <c r="O54" s="1">
        <f t="shared" si="2"/>
        <v>1.2751167802690297</v>
      </c>
      <c r="P54" s="1">
        <f t="shared" si="3"/>
        <v>1.138452496240659</v>
      </c>
      <c r="R54" s="21">
        <f t="shared" si="10"/>
        <v>0.40388485961370896</v>
      </c>
      <c r="S54" s="21">
        <f t="shared" si="11"/>
        <v>1.0912437585799244</v>
      </c>
      <c r="T54" s="21">
        <f t="shared" si="12"/>
        <v>1.2751167802690297</v>
      </c>
      <c r="U54" s="21">
        <f t="shared" si="13"/>
        <v>1.138452496240659</v>
      </c>
      <c r="Y54" s="21">
        <f t="shared" si="14"/>
        <v>4.9579238713724916</v>
      </c>
      <c r="Z54" s="21">
        <f t="shared" si="15"/>
        <v>4.9579238713724916</v>
      </c>
      <c r="AB54" s="21">
        <f t="shared" si="4"/>
        <v>4.2100947102427178E-2</v>
      </c>
      <c r="AD54" s="1">
        <f t="shared" si="16"/>
        <v>-4.4167354109577367E-4</v>
      </c>
      <c r="AE54" s="1">
        <f t="shared" si="5"/>
        <v>-4.0172448367730597E-6</v>
      </c>
      <c r="AF54" s="1">
        <f t="shared" si="17"/>
        <v>-3.1171539007035433E-4</v>
      </c>
      <c r="AG54" s="1">
        <f t="shared" si="6"/>
        <v>-2.8352095491074319E-6</v>
      </c>
      <c r="AH54" s="1">
        <f t="shared" si="18"/>
        <v>-5.3803388700347701E-4</v>
      </c>
      <c r="AI54" s="1">
        <f t="shared" si="7"/>
        <v>-4.8936910488486135E-6</v>
      </c>
      <c r="AJ54" s="1">
        <f t="shared" si="19"/>
        <v>-3.4080577302362164E-4</v>
      </c>
      <c r="AK54" s="1">
        <f t="shared" si="8"/>
        <v>-3.09980133431791E-6</v>
      </c>
      <c r="AL54" s="1">
        <f t="shared" si="20"/>
        <v>-4.1275438335712918E-4</v>
      </c>
      <c r="AM54" s="1">
        <f t="shared" si="21"/>
        <v>-1.6670524617713712E-4</v>
      </c>
      <c r="AN54" s="1">
        <f t="shared" si="22"/>
        <v>-4.5041564466497263E-4</v>
      </c>
      <c r="AO54" s="1">
        <f t="shared" si="23"/>
        <v>-5.2631004034827138E-4</v>
      </c>
      <c r="AP54" s="1">
        <f t="shared" si="24"/>
        <v>-4.6990125806719766E-4</v>
      </c>
    </row>
    <row r="55" spans="2:42" x14ac:dyDescent="0.3">
      <c r="B55" s="1">
        <v>0.49902145690726163</v>
      </c>
      <c r="C55" s="1"/>
      <c r="D55" s="4"/>
      <c r="E55" s="1"/>
      <c r="G55" s="4"/>
      <c r="H55" s="4"/>
      <c r="I55" s="1">
        <f t="shared" si="9"/>
        <v>5.0747067243361537</v>
      </c>
      <c r="M55" s="1">
        <f t="shared" si="0"/>
        <v>0.5528605080308544</v>
      </c>
      <c r="N55" s="1">
        <f t="shared" si="1"/>
        <v>1.3079872536099666</v>
      </c>
      <c r="O55" s="1">
        <f t="shared" si="2"/>
        <v>1.1083413315983925</v>
      </c>
      <c r="P55" s="1">
        <f t="shared" si="3"/>
        <v>1.1872921544647064</v>
      </c>
      <c r="R55" s="21">
        <f t="shared" si="10"/>
        <v>0.5528605080308544</v>
      </c>
      <c r="S55" s="21">
        <f t="shared" si="11"/>
        <v>1.3079872536099666</v>
      </c>
      <c r="T55" s="21">
        <f t="shared" si="12"/>
        <v>1.1083413315983925</v>
      </c>
      <c r="U55" s="21">
        <f t="shared" si="13"/>
        <v>1.1872921544647064</v>
      </c>
      <c r="Y55" s="21">
        <f t="shared" si="14"/>
        <v>5.1039547368764282</v>
      </c>
      <c r="Z55" s="21">
        <f t="shared" si="15"/>
        <v>5.1039547368764282</v>
      </c>
      <c r="AB55" s="21">
        <f t="shared" si="4"/>
        <v>-2.9248012540274537E-2</v>
      </c>
      <c r="AD55" s="1">
        <f t="shared" si="16"/>
        <v>3.0683569272796493E-4</v>
      </c>
      <c r="AE55" s="1">
        <f t="shared" si="5"/>
        <v>1.5311759441625792E-4</v>
      </c>
      <c r="AF55" s="1">
        <f t="shared" si="17"/>
        <v>2.1655226937278762E-4</v>
      </c>
      <c r="AG55" s="1">
        <f t="shared" si="6"/>
        <v>1.0806422895898225E-4</v>
      </c>
      <c r="AH55" s="1">
        <f t="shared" si="18"/>
        <v>3.7377833415208665E-4</v>
      </c>
      <c r="AI55" s="1">
        <f t="shared" si="7"/>
        <v>1.8652340886894355E-4</v>
      </c>
      <c r="AJ55" s="1">
        <f t="shared" si="19"/>
        <v>2.3676169324509522E-4</v>
      </c>
      <c r="AK55" s="1">
        <f t="shared" si="8"/>
        <v>1.1814916510299758E-4</v>
      </c>
      <c r="AL55" s="1">
        <f t="shared" si="20"/>
        <v>2.867452209830837E-4</v>
      </c>
      <c r="AM55" s="1">
        <f t="shared" si="21"/>
        <v>1.5853010854812726E-4</v>
      </c>
      <c r="AN55" s="1">
        <f t="shared" si="22"/>
        <v>3.7505909407944661E-4</v>
      </c>
      <c r="AO55" s="1">
        <f t="shared" si="23"/>
        <v>3.178115800538663E-4</v>
      </c>
      <c r="AP55" s="1">
        <f t="shared" si="24"/>
        <v>3.4045035120346378E-4</v>
      </c>
    </row>
    <row r="56" spans="2:42" x14ac:dyDescent="0.3">
      <c r="B56" s="1">
        <v>0.57466303093780846</v>
      </c>
      <c r="C56" s="1"/>
      <c r="D56" s="4"/>
      <c r="E56" s="1"/>
      <c r="G56" s="4"/>
      <c r="H56" s="4"/>
      <c r="I56" s="1">
        <f t="shared" si="9"/>
        <v>5.0990712797379887</v>
      </c>
      <c r="M56" s="1">
        <f t="shared" si="0"/>
        <v>0.57586143815781843</v>
      </c>
      <c r="N56" s="1">
        <f t="shared" si="1"/>
        <v>1.3414511253073103</v>
      </c>
      <c r="O56" s="1">
        <f t="shared" si="2"/>
        <v>1.0825922210388919</v>
      </c>
      <c r="P56" s="1">
        <f t="shared" si="3"/>
        <v>1.1948326993669887</v>
      </c>
      <c r="R56" s="21">
        <f t="shared" si="10"/>
        <v>0.57586143815781843</v>
      </c>
      <c r="S56" s="21">
        <f t="shared" si="11"/>
        <v>1.3414511253073103</v>
      </c>
      <c r="T56" s="21">
        <f t="shared" si="12"/>
        <v>1.0825922210388919</v>
      </c>
      <c r="U56" s="21">
        <f t="shared" si="13"/>
        <v>1.1948326993669887</v>
      </c>
      <c r="Y56" s="21">
        <f t="shared" si="14"/>
        <v>5.126501010509223</v>
      </c>
      <c r="Z56" s="21">
        <f t="shared" si="15"/>
        <v>5.126501010509223</v>
      </c>
      <c r="AB56" s="21">
        <f t="shared" si="4"/>
        <v>-2.742973077123434E-2</v>
      </c>
      <c r="AD56" s="1">
        <f t="shared" si="16"/>
        <v>2.8776042238575514E-4</v>
      </c>
      <c r="AE56" s="1">
        <f t="shared" si="5"/>
        <v>1.6536527651214204E-4</v>
      </c>
      <c r="AF56" s="1">
        <f t="shared" si="17"/>
        <v>2.0308971211688439E-4</v>
      </c>
      <c r="AG56" s="1">
        <f t="shared" si="6"/>
        <v>1.1670814951737574E-4</v>
      </c>
      <c r="AH56" s="1">
        <f t="shared" si="18"/>
        <v>3.5054139353210106E-4</v>
      </c>
      <c r="AI56" s="1">
        <f t="shared" si="7"/>
        <v>2.0144317967632028E-4</v>
      </c>
      <c r="AJ56" s="1">
        <f t="shared" si="19"/>
        <v>2.2204276251973923E-4</v>
      </c>
      <c r="AK56" s="1">
        <f t="shared" si="8"/>
        <v>1.2759976690739736E-4</v>
      </c>
      <c r="AL56" s="1">
        <f t="shared" si="20"/>
        <v>2.6891892912974844E-4</v>
      </c>
      <c r="AM56" s="1">
        <f t="shared" si="21"/>
        <v>1.5486004127651738E-4</v>
      </c>
      <c r="AN56" s="1">
        <f t="shared" si="22"/>
        <v>3.6074160009753789E-4</v>
      </c>
      <c r="AO56" s="1">
        <f t="shared" si="23"/>
        <v>2.9112954076597469E-4</v>
      </c>
      <c r="AP56" s="1">
        <f t="shared" si="24"/>
        <v>3.2131313000297723E-4</v>
      </c>
    </row>
    <row r="57" spans="2:42" x14ac:dyDescent="0.3">
      <c r="B57" s="1">
        <v>0.48614513510142532</v>
      </c>
      <c r="C57" s="1"/>
      <c r="D57" s="4"/>
      <c r="E57" s="1"/>
      <c r="G57" s="4"/>
      <c r="H57" s="4"/>
      <c r="I57" s="1">
        <f t="shared" si="9"/>
        <v>5.0709011277148353</v>
      </c>
      <c r="M57" s="1">
        <f t="shared" si="0"/>
        <v>0.54894510328228674</v>
      </c>
      <c r="N57" s="1">
        <f t="shared" si="1"/>
        <v>1.3022907621452304</v>
      </c>
      <c r="O57" s="1">
        <f t="shared" si="2"/>
        <v>1.1127245538941672</v>
      </c>
      <c r="P57" s="1">
        <f t="shared" si="3"/>
        <v>1.1860085417953832</v>
      </c>
      <c r="R57" s="21">
        <f t="shared" si="10"/>
        <v>0.54894510328228674</v>
      </c>
      <c r="S57" s="21">
        <f t="shared" si="11"/>
        <v>1.3022907621452304</v>
      </c>
      <c r="T57" s="21">
        <f t="shared" si="12"/>
        <v>1.1127245538941672</v>
      </c>
      <c r="U57" s="21">
        <f t="shared" si="13"/>
        <v>1.1860085417953832</v>
      </c>
      <c r="Y57" s="21">
        <f t="shared" si="14"/>
        <v>5.100116727441284</v>
      </c>
      <c r="Z57" s="21">
        <f t="shared" si="15"/>
        <v>5.100116727441284</v>
      </c>
      <c r="AB57" s="21">
        <f t="shared" si="4"/>
        <v>-2.9215599726448716E-2</v>
      </c>
      <c r="AD57" s="1">
        <f t="shared" si="16"/>
        <v>3.0649565566835912E-4</v>
      </c>
      <c r="AE57" s="1">
        <f t="shared" si="5"/>
        <v>1.4900137193289437E-4</v>
      </c>
      <c r="AF57" s="1">
        <f t="shared" si="17"/>
        <v>2.1631228491637115E-4</v>
      </c>
      <c r="AG57" s="1">
        <f t="shared" si="6"/>
        <v>1.0515916497476726E-4</v>
      </c>
      <c r="AH57" s="1">
        <f t="shared" si="18"/>
        <v>3.733641108765627E-4</v>
      </c>
      <c r="AI57" s="1">
        <f t="shared" si="7"/>
        <v>1.8150914612411013E-4</v>
      </c>
      <c r="AJ57" s="1">
        <f t="shared" si="19"/>
        <v>2.3649931259021577E-4</v>
      </c>
      <c r="AK57" s="1">
        <f t="shared" si="8"/>
        <v>1.1497299027056467E-4</v>
      </c>
      <c r="AL57" s="1">
        <f t="shared" si="20"/>
        <v>2.8642744829851681E-4</v>
      </c>
      <c r="AM57" s="1">
        <f t="shared" si="21"/>
        <v>1.5723294518911116E-4</v>
      </c>
      <c r="AN57" s="1">
        <f t="shared" si="22"/>
        <v>3.7301181994398903E-4</v>
      </c>
      <c r="AO57" s="1">
        <f t="shared" si="23"/>
        <v>3.1871485463101179E-4</v>
      </c>
      <c r="AP57" s="1">
        <f t="shared" si="24"/>
        <v>3.3970540028669641E-4</v>
      </c>
    </row>
    <row r="58" spans="2:42" x14ac:dyDescent="0.3">
      <c r="B58" s="1">
        <v>2.9327048849934312E-2</v>
      </c>
      <c r="C58" s="1"/>
      <c r="D58" s="4"/>
      <c r="E58" s="1"/>
      <c r="G58" s="4"/>
      <c r="H58" s="4"/>
      <c r="I58" s="1">
        <f t="shared" si="9"/>
        <v>5.000258022738274</v>
      </c>
      <c r="M58" s="1">
        <f t="shared" si="0"/>
        <v>0.41003682410818182</v>
      </c>
      <c r="N58" s="1">
        <f t="shared" si="1"/>
        <v>1.1001942031660028</v>
      </c>
      <c r="O58" s="1">
        <f t="shared" si="2"/>
        <v>1.2682297712197477</v>
      </c>
      <c r="P58" s="1">
        <f t="shared" si="3"/>
        <v>1.1404693348750863</v>
      </c>
      <c r="R58" s="21">
        <f t="shared" si="10"/>
        <v>0.41003682410818182</v>
      </c>
      <c r="S58" s="21">
        <f t="shared" si="11"/>
        <v>1.1001942031660028</v>
      </c>
      <c r="T58" s="21">
        <f t="shared" si="12"/>
        <v>1.2682297712197477</v>
      </c>
      <c r="U58" s="21">
        <f t="shared" si="13"/>
        <v>1.1404693348750863</v>
      </c>
      <c r="Y58" s="21">
        <f t="shared" si="14"/>
        <v>4.963954230758219</v>
      </c>
      <c r="Z58" s="21">
        <f t="shared" si="15"/>
        <v>4.963954230758219</v>
      </c>
      <c r="AB58" s="21">
        <f t="shared" si="4"/>
        <v>3.6303791980055067E-2</v>
      </c>
      <c r="AD58" s="1">
        <f t="shared" si="16"/>
        <v>-3.8085661873651444E-4</v>
      </c>
      <c r="AE58" s="1">
        <f t="shared" si="5"/>
        <v>-1.1169400662506567E-5</v>
      </c>
      <c r="AF58" s="1">
        <f t="shared" si="17"/>
        <v>-2.6879325661164179E-4</v>
      </c>
      <c r="AG58" s="1">
        <f t="shared" si="6"/>
        <v>-7.882912967182548E-6</v>
      </c>
      <c r="AH58" s="1">
        <f t="shared" si="18"/>
        <v>-4.6394847755975064E-4</v>
      </c>
      <c r="AI58" s="1">
        <f t="shared" si="7"/>
        <v>-1.3606239665247459E-5</v>
      </c>
      <c r="AJ58" s="1">
        <f t="shared" si="19"/>
        <v>-2.9387799422541088E-4</v>
      </c>
      <c r="AK58" s="1">
        <f t="shared" si="8"/>
        <v>-8.6185742925693386E-6</v>
      </c>
      <c r="AL58" s="1">
        <f t="shared" si="20"/>
        <v>-3.5591952921622613E-4</v>
      </c>
      <c r="AM58" s="1">
        <f t="shared" si="21"/>
        <v>-1.4594011339790058E-4</v>
      </c>
      <c r="AN58" s="1">
        <f t="shared" si="22"/>
        <v>-3.9158060283726474E-4</v>
      </c>
      <c r="AO58" s="1">
        <f t="shared" si="23"/>
        <v>-4.5138774311053478E-4</v>
      </c>
      <c r="AP58" s="1">
        <f t="shared" si="24"/>
        <v>-4.0591530875428328E-4</v>
      </c>
    </row>
    <row r="59" spans="2:42" x14ac:dyDescent="0.3">
      <c r="B59" s="1">
        <v>0.98565101230212648</v>
      </c>
      <c r="C59" s="1"/>
      <c r="D59" s="4"/>
      <c r="E59" s="1"/>
      <c r="G59" s="4"/>
      <c r="H59" s="4"/>
      <c r="I59" s="1">
        <f t="shared" si="9"/>
        <v>5.2914523754156617</v>
      </c>
      <c r="M59" s="1">
        <f t="shared" si="0"/>
        <v>0.70083379580025873</v>
      </c>
      <c r="N59" s="1">
        <f t="shared" si="1"/>
        <v>1.523272422045157</v>
      </c>
      <c r="O59" s="1">
        <f t="shared" si="2"/>
        <v>0.94268800690259946</v>
      </c>
      <c r="P59" s="1">
        <f t="shared" si="3"/>
        <v>1.2358032022616598</v>
      </c>
      <c r="R59" s="21">
        <f t="shared" si="10"/>
        <v>0.70083379580025873</v>
      </c>
      <c r="S59" s="21">
        <f t="shared" si="11"/>
        <v>1.523272422045157</v>
      </c>
      <c r="T59" s="21">
        <f t="shared" si="12"/>
        <v>0.94268800690259946</v>
      </c>
      <c r="U59" s="21">
        <f t="shared" si="13"/>
        <v>1.2358032022616598</v>
      </c>
      <c r="Y59" s="21">
        <f t="shared" si="14"/>
        <v>5.2490030552695313</v>
      </c>
      <c r="Z59" s="21">
        <f t="shared" si="15"/>
        <v>5.2490030552695313</v>
      </c>
      <c r="AB59" s="21">
        <f t="shared" si="4"/>
        <v>4.2449320146130454E-2</v>
      </c>
      <c r="AD59" s="1">
        <f t="shared" si="16"/>
        <v>-4.4532826067869417E-4</v>
      </c>
      <c r="AE59" s="1">
        <f t="shared" si="5"/>
        <v>-4.3893825094470018E-4</v>
      </c>
      <c r="AF59" s="1">
        <f t="shared" si="17"/>
        <v>-3.1429474390160585E-4</v>
      </c>
      <c r="AG59" s="1">
        <f t="shared" si="6"/>
        <v>-3.0978493248785539E-4</v>
      </c>
      <c r="AH59" s="1">
        <f t="shared" si="18"/>
        <v>-5.424859603113504E-4</v>
      </c>
      <c r="AI59" s="1">
        <f t="shared" si="7"/>
        <v>-5.3470183594057376E-4</v>
      </c>
      <c r="AJ59" s="1">
        <f t="shared" si="19"/>
        <v>-3.4362584127935555E-4</v>
      </c>
      <c r="AK59" s="1">
        <f t="shared" si="8"/>
        <v>-3.3869515831016665E-4</v>
      </c>
      <c r="AL59" s="1">
        <f t="shared" si="20"/>
        <v>-4.1616980535422014E-4</v>
      </c>
      <c r="AM59" s="1">
        <f t="shared" si="21"/>
        <v>-2.9166586438385294E-4</v>
      </c>
      <c r="AN59" s="1">
        <f t="shared" si="22"/>
        <v>-6.339399873839845E-4</v>
      </c>
      <c r="AO59" s="1">
        <f t="shared" si="23"/>
        <v>-3.9231828434241252E-4</v>
      </c>
      <c r="AP59" s="1">
        <f t="shared" si="24"/>
        <v>-5.1430397814135689E-4</v>
      </c>
    </row>
    <row r="60" spans="2:42" x14ac:dyDescent="0.3">
      <c r="B60" s="1">
        <v>0.99176510711687293</v>
      </c>
      <c r="C60" s="1"/>
      <c r="D60" s="4"/>
      <c r="E60" s="1"/>
      <c r="G60" s="4"/>
      <c r="H60" s="4"/>
      <c r="I60" s="1">
        <f t="shared" si="9"/>
        <v>5.2950794083083625</v>
      </c>
      <c r="M60" s="1">
        <f t="shared" si="0"/>
        <v>0.70269295684266142</v>
      </c>
      <c r="N60" s="1">
        <f t="shared" si="1"/>
        <v>1.5259773007715494</v>
      </c>
      <c r="O60" s="1">
        <f t="shared" si="2"/>
        <v>0.94060671093045856</v>
      </c>
      <c r="P60" s="1">
        <f t="shared" si="3"/>
        <v>1.2364127031489467</v>
      </c>
      <c r="R60" s="21">
        <f t="shared" si="10"/>
        <v>0.70269295684266142</v>
      </c>
      <c r="S60" s="21">
        <f t="shared" si="11"/>
        <v>1.5259773007715494</v>
      </c>
      <c r="T60" s="21">
        <f t="shared" si="12"/>
        <v>0.94060671093045856</v>
      </c>
      <c r="U60" s="21">
        <f t="shared" si="13"/>
        <v>1.2364127031489467</v>
      </c>
      <c r="Y60" s="21">
        <f t="shared" si="14"/>
        <v>5.2508254665093403</v>
      </c>
      <c r="Z60" s="21">
        <f t="shared" si="15"/>
        <v>5.2508254665093403</v>
      </c>
      <c r="AB60" s="21">
        <f t="shared" si="4"/>
        <v>4.4253941799022201E-2</v>
      </c>
      <c r="AD60" s="1">
        <f t="shared" si="16"/>
        <v>-4.642602251742115E-4</v>
      </c>
      <c r="AE60" s="1">
        <f t="shared" si="5"/>
        <v>-4.604370919500054E-4</v>
      </c>
      <c r="AF60" s="1">
        <f t="shared" si="17"/>
        <v>-3.2765616166477364E-4</v>
      </c>
      <c r="AG60" s="1">
        <f t="shared" si="6"/>
        <v>-3.2495794827096768E-4</v>
      </c>
      <c r="AH60" s="1">
        <f t="shared" si="18"/>
        <v>-5.6554832990873198E-4</v>
      </c>
      <c r="AI60" s="1">
        <f t="shared" si="7"/>
        <v>-5.6089109999170219E-4</v>
      </c>
      <c r="AJ60" s="1">
        <f t="shared" si="19"/>
        <v>-3.5823419381671401E-4</v>
      </c>
      <c r="AK60" s="1">
        <f t="shared" si="8"/>
        <v>-3.5528417360356E-4</v>
      </c>
      <c r="AL60" s="1">
        <f t="shared" si="20"/>
        <v>-4.3386217450021763E-4</v>
      </c>
      <c r="AM60" s="1">
        <f t="shared" si="21"/>
        <v>-3.0487189426174469E-4</v>
      </c>
      <c r="AN60" s="1">
        <f t="shared" si="22"/>
        <v>-6.6206382995071705E-4</v>
      </c>
      <c r="AO60" s="1">
        <f t="shared" si="23"/>
        <v>-4.0809367295378639E-4</v>
      </c>
      <c r="AP60" s="1">
        <f t="shared" si="24"/>
        <v>-5.3643270396789406E-4</v>
      </c>
    </row>
    <row r="61" spans="2:42" x14ac:dyDescent="0.3">
      <c r="B61" s="1">
        <v>0.37327992979850289</v>
      </c>
      <c r="C61" s="1"/>
      <c r="D61" s="4"/>
      <c r="E61" s="1"/>
      <c r="G61" s="4"/>
      <c r="H61" s="4"/>
      <c r="I61" s="1">
        <f t="shared" si="9"/>
        <v>5.0418013717971126</v>
      </c>
      <c r="M61" s="1">
        <f t="shared" si="0"/>
        <v>0.51462528994934897</v>
      </c>
      <c r="N61" s="1">
        <f t="shared" si="1"/>
        <v>1.2523591366104934</v>
      </c>
      <c r="O61" s="1">
        <f t="shared" si="2"/>
        <v>1.1511449422442572</v>
      </c>
      <c r="P61" s="1">
        <f t="shared" si="3"/>
        <v>1.1747572536063207</v>
      </c>
      <c r="R61" s="21">
        <f t="shared" si="10"/>
        <v>0.51462528994934897</v>
      </c>
      <c r="S61" s="21">
        <f t="shared" si="11"/>
        <v>1.2523591366104934</v>
      </c>
      <c r="T61" s="21">
        <f t="shared" si="12"/>
        <v>1.1511449422442572</v>
      </c>
      <c r="U61" s="21">
        <f t="shared" si="13"/>
        <v>1.1747572536063207</v>
      </c>
      <c r="Y61" s="21">
        <f t="shared" si="14"/>
        <v>5.0664753095438497</v>
      </c>
      <c r="Z61" s="21">
        <f t="shared" si="15"/>
        <v>5.0664753095438497</v>
      </c>
      <c r="AB61" s="21">
        <f t="shared" si="4"/>
        <v>-2.4673937746737096E-2</v>
      </c>
      <c r="AD61" s="1">
        <f t="shared" si="16"/>
        <v>2.5884988836153225E-4</v>
      </c>
      <c r="AE61" s="1">
        <f t="shared" si="5"/>
        <v>9.6623468155943062E-5</v>
      </c>
      <c r="AF61" s="1">
        <f t="shared" si="17"/>
        <v>1.8268582202162341E-4</v>
      </c>
      <c r="AG61" s="1">
        <f t="shared" si="6"/>
        <v>6.8192950819413384E-5</v>
      </c>
      <c r="AH61" s="1">
        <f t="shared" si="18"/>
        <v>3.1532342018960013E-4</v>
      </c>
      <c r="AI61" s="1">
        <f t="shared" si="7"/>
        <v>1.1770390415219777E-4</v>
      </c>
      <c r="AJ61" s="1">
        <f t="shared" si="19"/>
        <v>1.9973470921818434E-4</v>
      </c>
      <c r="AK61" s="1">
        <f t="shared" si="8"/>
        <v>7.4556958235288232E-5</v>
      </c>
      <c r="AL61" s="1">
        <f t="shared" si="20"/>
        <v>2.4190135045820682E-4</v>
      </c>
      <c r="AM61" s="1">
        <f t="shared" si="21"/>
        <v>1.2448855261869377E-4</v>
      </c>
      <c r="AN61" s="1">
        <f t="shared" si="22"/>
        <v>3.0294736640475227E-4</v>
      </c>
      <c r="AO61" s="1">
        <f t="shared" si="23"/>
        <v>2.7846351610202034E-4</v>
      </c>
      <c r="AP61" s="1">
        <f t="shared" si="24"/>
        <v>2.8417536610794312E-4</v>
      </c>
    </row>
    <row r="62" spans="2:42" x14ac:dyDescent="0.3">
      <c r="B62" s="1">
        <v>0.16451878546799448</v>
      </c>
      <c r="C62" s="1"/>
      <c r="D62" s="4"/>
      <c r="E62" s="1"/>
      <c r="G62" s="4"/>
      <c r="H62" s="4"/>
      <c r="I62" s="1">
        <f t="shared" si="9"/>
        <v>5.008119929231559</v>
      </c>
      <c r="M62" s="1">
        <f t="shared" si="0"/>
        <v>0.4511456419447748</v>
      </c>
      <c r="N62" s="1">
        <f t="shared" si="1"/>
        <v>1.1600030977680755</v>
      </c>
      <c r="O62" s="1">
        <f t="shared" si="2"/>
        <v>1.2222092194593686</v>
      </c>
      <c r="P62" s="1">
        <f t="shared" si="3"/>
        <v>1.1539463066786386</v>
      </c>
      <c r="R62" s="21">
        <f t="shared" si="10"/>
        <v>0.4511456419447748</v>
      </c>
      <c r="S62" s="21">
        <f t="shared" si="11"/>
        <v>1.1600030977680755</v>
      </c>
      <c r="T62" s="21">
        <f t="shared" si="12"/>
        <v>1.2222092194593686</v>
      </c>
      <c r="U62" s="21">
        <f t="shared" si="13"/>
        <v>1.1539463066786386</v>
      </c>
      <c r="Y62" s="21">
        <f t="shared" si="14"/>
        <v>5.0042504557607916</v>
      </c>
      <c r="Z62" s="21">
        <f t="shared" si="15"/>
        <v>5.0042504557607916</v>
      </c>
      <c r="AB62" s="21">
        <f t="shared" si="4"/>
        <v>3.8694734707673817E-3</v>
      </c>
      <c r="AD62" s="1">
        <f t="shared" si="16"/>
        <v>-4.0593957324809312E-5</v>
      </c>
      <c r="AE62" s="1">
        <f t="shared" si="5"/>
        <v>-6.6784685564172259E-6</v>
      </c>
      <c r="AF62" s="1">
        <f t="shared" si="17"/>
        <v>-2.864957953018602E-5</v>
      </c>
      <c r="AG62" s="1">
        <f t="shared" si="6"/>
        <v>-4.7133940284749199E-6</v>
      </c>
      <c r="AH62" s="1">
        <f t="shared" si="18"/>
        <v>-4.945038046457118E-5</v>
      </c>
      <c r="AI62" s="1">
        <f t="shared" si="7"/>
        <v>-8.1355165349614903E-6</v>
      </c>
      <c r="AJ62" s="1">
        <f t="shared" si="19"/>
        <v>-3.1323259645226521E-5</v>
      </c>
      <c r="AK62" s="1">
        <f t="shared" si="8"/>
        <v>-5.1532646337313107E-6</v>
      </c>
      <c r="AL62" s="1">
        <f t="shared" si="20"/>
        <v>-3.7936014419288054E-5</v>
      </c>
      <c r="AM62" s="1">
        <f t="shared" si="21"/>
        <v>-1.7114667578015941E-5</v>
      </c>
      <c r="AN62" s="1">
        <f t="shared" si="22"/>
        <v>-4.4005894243348522E-5</v>
      </c>
      <c r="AO62" s="1">
        <f t="shared" si="23"/>
        <v>-4.6365746572797406E-5</v>
      </c>
      <c r="AP62" s="1">
        <f t="shared" si="24"/>
        <v>-4.3776123729245032E-5</v>
      </c>
    </row>
    <row r="63" spans="2:42" x14ac:dyDescent="0.3">
      <c r="B63" s="1">
        <v>0.63510430818066232</v>
      </c>
      <c r="C63" s="1"/>
      <c r="D63" s="4"/>
      <c r="E63" s="1"/>
      <c r="G63" s="4"/>
      <c r="H63" s="4"/>
      <c r="I63" s="1">
        <f t="shared" si="9"/>
        <v>5.1210072446808912</v>
      </c>
      <c r="M63" s="1">
        <f t="shared" si="0"/>
        <v>0.59424029413040724</v>
      </c>
      <c r="N63" s="1">
        <f t="shared" si="1"/>
        <v>1.36819037779909</v>
      </c>
      <c r="O63" s="1">
        <f t="shared" si="2"/>
        <v>1.0620174359418078</v>
      </c>
      <c r="P63" s="1">
        <f t="shared" si="3"/>
        <v>1.2008579595607676</v>
      </c>
      <c r="R63" s="21">
        <f t="shared" si="10"/>
        <v>0.59424029413040724</v>
      </c>
      <c r="S63" s="21">
        <f t="shared" si="11"/>
        <v>1.36819037779909</v>
      </c>
      <c r="T63" s="21">
        <f t="shared" si="12"/>
        <v>1.0620174359418078</v>
      </c>
      <c r="U63" s="21">
        <f t="shared" si="13"/>
        <v>1.2008579595607676</v>
      </c>
      <c r="Y63" s="21">
        <f t="shared" si="14"/>
        <v>5.1445165739463707</v>
      </c>
      <c r="Z63" s="21">
        <f t="shared" si="15"/>
        <v>5.1445165739463707</v>
      </c>
      <c r="AB63" s="21">
        <f t="shared" si="4"/>
        <v>-2.350932926547955E-2</v>
      </c>
      <c r="AD63" s="1">
        <f t="shared" si="16"/>
        <v>2.4663218811227738E-4</v>
      </c>
      <c r="AE63" s="1">
        <f t="shared" si="5"/>
        <v>1.5663716520613089E-4</v>
      </c>
      <c r="AF63" s="1">
        <f t="shared" si="17"/>
        <v>1.7406306144259812E-4</v>
      </c>
      <c r="AG63" s="1">
        <f t="shared" si="6"/>
        <v>1.1054820021730941E-4</v>
      </c>
      <c r="AH63" s="1">
        <f t="shared" si="18"/>
        <v>3.0044017239748362E-4</v>
      </c>
      <c r="AI63" s="1">
        <f t="shared" si="7"/>
        <v>1.9081084784018277E-4</v>
      </c>
      <c r="AJ63" s="1">
        <f t="shared" si="19"/>
        <v>1.9030724211728482E-4</v>
      </c>
      <c r="AK63" s="1">
        <f t="shared" si="8"/>
        <v>1.2086494934666798E-4</v>
      </c>
      <c r="AL63" s="1">
        <f t="shared" si="20"/>
        <v>2.3048362024979951E-4</v>
      </c>
      <c r="AM63" s="1">
        <f t="shared" si="21"/>
        <v>1.3696265428948196E-4</v>
      </c>
      <c r="AN63" s="1">
        <f t="shared" si="22"/>
        <v>3.1534547146607519E-4</v>
      </c>
      <c r="AO63" s="1">
        <f t="shared" si="23"/>
        <v>2.4477762340427742E-4</v>
      </c>
      <c r="AP63" s="1">
        <f t="shared" si="24"/>
        <v>2.7677808992535306E-4</v>
      </c>
    </row>
    <row r="64" spans="2:42" x14ac:dyDescent="0.3">
      <c r="B64" s="1">
        <v>0.33445572755073261</v>
      </c>
      <c r="C64" s="1"/>
      <c r="D64" s="4"/>
      <c r="E64" s="1"/>
      <c r="G64" s="4"/>
      <c r="H64" s="4"/>
      <c r="I64" s="1">
        <f t="shared" si="9"/>
        <v>5.0335581901074473</v>
      </c>
      <c r="M64" s="1">
        <f t="shared" si="0"/>
        <v>0.50281970850050905</v>
      </c>
      <c r="N64" s="1">
        <f t="shared" si="1"/>
        <v>1.2351832893410215</v>
      </c>
      <c r="O64" s="1">
        <f t="shared" si="2"/>
        <v>1.1643610696037772</v>
      </c>
      <c r="P64" s="1">
        <f t="shared" si="3"/>
        <v>1.1708869528610404</v>
      </c>
      <c r="R64" s="21">
        <f t="shared" si="10"/>
        <v>0.50281970850050905</v>
      </c>
      <c r="S64" s="21">
        <f t="shared" si="11"/>
        <v>1.2351832893410215</v>
      </c>
      <c r="T64" s="21">
        <f t="shared" si="12"/>
        <v>1.1643610696037772</v>
      </c>
      <c r="U64" s="21">
        <f t="shared" si="13"/>
        <v>1.1708869528610404</v>
      </c>
      <c r="Y64" s="21">
        <f t="shared" si="14"/>
        <v>5.0549030875393246</v>
      </c>
      <c r="Z64" s="21">
        <f t="shared" si="15"/>
        <v>5.0549030875393246</v>
      </c>
      <c r="AB64" s="21">
        <f t="shared" si="4"/>
        <v>-2.1344897431877285E-2</v>
      </c>
      <c r="AD64" s="1">
        <f t="shared" si="16"/>
        <v>2.2392551906557514E-4</v>
      </c>
      <c r="AE64" s="1">
        <f t="shared" si="5"/>
        <v>7.4893172396252374E-5</v>
      </c>
      <c r="AF64" s="1">
        <f t="shared" si="17"/>
        <v>1.5803760929182867E-4</v>
      </c>
      <c r="AG64" s="1">
        <f t="shared" si="6"/>
        <v>5.2856583596076978E-5</v>
      </c>
      <c r="AH64" s="1">
        <f t="shared" si="18"/>
        <v>2.7277956728677459E-4</v>
      </c>
      <c r="AI64" s="1">
        <f t="shared" si="7"/>
        <v>9.1232688637872214E-5</v>
      </c>
      <c r="AJ64" s="1">
        <f t="shared" si="19"/>
        <v>1.7278623807875031E-4</v>
      </c>
      <c r="AK64" s="1">
        <f t="shared" si="8"/>
        <v>5.7789346967382538E-5</v>
      </c>
      <c r="AL64" s="1">
        <f t="shared" si="20"/>
        <v>2.0926370031252241E-4</v>
      </c>
      <c r="AM64" s="1">
        <f t="shared" si="21"/>
        <v>1.0522191279088041E-4</v>
      </c>
      <c r="AN64" s="1">
        <f t="shared" si="22"/>
        <v>2.5847902569169518E-4</v>
      </c>
      <c r="AO64" s="1">
        <f t="shared" si="23"/>
        <v>2.4365850592513287E-4</v>
      </c>
      <c r="AP64" s="1">
        <f t="shared" si="24"/>
        <v>2.4502413640335529E-4</v>
      </c>
    </row>
    <row r="65" spans="2:42" x14ac:dyDescent="0.3">
      <c r="B65" s="1">
        <v>0.16100362379941913</v>
      </c>
      <c r="C65" s="1"/>
      <c r="D65" s="4"/>
      <c r="E65" s="1"/>
      <c r="G65" s="4"/>
      <c r="H65" s="4"/>
      <c r="I65" s="1">
        <f t="shared" si="9"/>
        <v>5.0077766500629632</v>
      </c>
      <c r="M65" s="1">
        <f t="shared" si="0"/>
        <v>0.45007675900625699</v>
      </c>
      <c r="N65" s="1">
        <f t="shared" si="1"/>
        <v>1.1584479884174277</v>
      </c>
      <c r="O65" s="1">
        <f t="shared" si="2"/>
        <v>1.2234058138930344</v>
      </c>
      <c r="P65" s="1">
        <f t="shared" si="3"/>
        <v>1.1535958878151977</v>
      </c>
      <c r="R65" s="21">
        <f t="shared" si="10"/>
        <v>0.45007675900625699</v>
      </c>
      <c r="S65" s="21">
        <f t="shared" si="11"/>
        <v>1.1584479884174277</v>
      </c>
      <c r="T65" s="21">
        <f t="shared" si="12"/>
        <v>1.2234058138930344</v>
      </c>
      <c r="U65" s="21">
        <f t="shared" si="13"/>
        <v>1.1535958878151977</v>
      </c>
      <c r="Y65" s="21">
        <f t="shared" si="14"/>
        <v>5.0032027012969404</v>
      </c>
      <c r="Z65" s="21">
        <f t="shared" si="15"/>
        <v>5.0032027012969404</v>
      </c>
      <c r="AB65" s="21">
        <f t="shared" si="4"/>
        <v>4.5739487660227951E-3</v>
      </c>
      <c r="AD65" s="1">
        <f t="shared" si="16"/>
        <v>-4.7984482234212388E-5</v>
      </c>
      <c r="AE65" s="1">
        <f t="shared" si="5"/>
        <v>-7.7256755258470419E-6</v>
      </c>
      <c r="AF65" s="1">
        <f t="shared" si="17"/>
        <v>-3.3865514243512439E-5</v>
      </c>
      <c r="AG65" s="1">
        <f t="shared" si="6"/>
        <v>-5.4524705150363468E-6</v>
      </c>
      <c r="AH65" s="1">
        <f t="shared" si="18"/>
        <v>-5.8453303379394168E-5</v>
      </c>
      <c r="AI65" s="1">
        <f t="shared" si="7"/>
        <v>-9.4111936671292934E-6</v>
      </c>
      <c r="AJ65" s="1">
        <f t="shared" si="19"/>
        <v>-3.7025963838351998E-5</v>
      </c>
      <c r="AK65" s="1">
        <f t="shared" si="8"/>
        <v>-5.9613143526409214E-6</v>
      </c>
      <c r="AL65" s="1">
        <f t="shared" si="20"/>
        <v>-4.4842634961007793E-5</v>
      </c>
      <c r="AM65" s="1">
        <f t="shared" si="21"/>
        <v>-2.0182627808551057E-5</v>
      </c>
      <c r="AN65" s="1">
        <f t="shared" si="22"/>
        <v>-5.1947860265916495E-5</v>
      </c>
      <c r="AO65" s="1">
        <f t="shared" si="23"/>
        <v>-5.4860740321579979E-5</v>
      </c>
      <c r="AP65" s="1">
        <f t="shared" si="24"/>
        <v>-5.173027928981661E-5</v>
      </c>
    </row>
    <row r="66" spans="2:42" x14ac:dyDescent="0.3">
      <c r="B66" s="1">
        <v>0.87083461009770324</v>
      </c>
      <c r="C66" s="1"/>
      <c r="D66" s="4"/>
      <c r="E66" s="1"/>
      <c r="G66" s="4"/>
      <c r="H66" s="4"/>
      <c r="I66" s="1">
        <f t="shared" si="9"/>
        <v>5.2275058754432058</v>
      </c>
      <c r="M66" s="1">
        <f t="shared" si="0"/>
        <v>0.66592066663313121</v>
      </c>
      <c r="N66" s="1">
        <f t="shared" si="1"/>
        <v>1.472477585986248</v>
      </c>
      <c r="O66" s="1">
        <f t="shared" si="2"/>
        <v>0.98177260121857546</v>
      </c>
      <c r="P66" s="1">
        <f t="shared" si="3"/>
        <v>1.224357403473928</v>
      </c>
      <c r="R66" s="21">
        <f t="shared" si="10"/>
        <v>0.66592066663313121</v>
      </c>
      <c r="S66" s="21">
        <f t="shared" si="11"/>
        <v>1.472477585986248</v>
      </c>
      <c r="T66" s="21">
        <f t="shared" si="12"/>
        <v>0.98177260121857546</v>
      </c>
      <c r="U66" s="21">
        <f t="shared" si="13"/>
        <v>1.224357403473928</v>
      </c>
      <c r="Y66" s="21">
        <f t="shared" si="14"/>
        <v>5.2147800495374099</v>
      </c>
      <c r="Z66" s="21">
        <f t="shared" si="15"/>
        <v>5.2147800495374099</v>
      </c>
      <c r="AB66" s="21">
        <f t="shared" si="4"/>
        <v>1.2725825905795851E-2</v>
      </c>
      <c r="AD66" s="1">
        <f t="shared" si="16"/>
        <v>-1.3350437408229102E-4</v>
      </c>
      <c r="AE66" s="1">
        <f t="shared" si="5"/>
        <v>-1.1626022955028982E-4</v>
      </c>
      <c r="AF66" s="1">
        <f t="shared" si="17"/>
        <v>-9.4222008273155456E-5</v>
      </c>
      <c r="AG66" s="1">
        <f t="shared" si="6"/>
        <v>-8.2051785837175894E-5</v>
      </c>
      <c r="AH66" s="1">
        <f t="shared" si="18"/>
        <v>-1.6263115318444107E-4</v>
      </c>
      <c r="AI66" s="1">
        <f t="shared" si="7"/>
        <v>-1.4162483687311258E-4</v>
      </c>
      <c r="AJ66" s="1">
        <f t="shared" si="19"/>
        <v>-1.0301513941330665E-4</v>
      </c>
      <c r="AK66" s="1">
        <f t="shared" si="8"/>
        <v>-8.9709148765147436E-5</v>
      </c>
      <c r="AL66" s="1">
        <f t="shared" si="20"/>
        <v>-1.247629990764299E-4</v>
      </c>
      <c r="AM66" s="1">
        <f t="shared" si="21"/>
        <v>-8.3082259516124927E-5</v>
      </c>
      <c r="AN66" s="1">
        <f t="shared" si="22"/>
        <v>-1.8371071970046599E-4</v>
      </c>
      <c r="AO66" s="1">
        <f t="shared" si="23"/>
        <v>-1.2248889413909731E-4</v>
      </c>
      <c r="AP66" s="1">
        <f t="shared" si="24"/>
        <v>-1.5275450159883778E-4</v>
      </c>
    </row>
    <row r="67" spans="2:42" x14ac:dyDescent="0.3">
      <c r="B67" s="1">
        <v>0.83583588586121549</v>
      </c>
      <c r="C67" s="1"/>
      <c r="D67" s="4"/>
      <c r="E67" s="1"/>
      <c r="G67" s="4"/>
      <c r="H67" s="4"/>
      <c r="I67" s="1">
        <f t="shared" si="9"/>
        <v>5.2095864884280205</v>
      </c>
      <c r="M67" s="1">
        <f t="shared" si="0"/>
        <v>0.65527832846111944</v>
      </c>
      <c r="N67" s="1">
        <f t="shared" si="1"/>
        <v>1.4569941321788542</v>
      </c>
      <c r="O67" s="1">
        <f t="shared" si="2"/>
        <v>0.99368649951269172</v>
      </c>
      <c r="P67" s="1">
        <f t="shared" si="3"/>
        <v>1.2208684563570784</v>
      </c>
      <c r="R67" s="21">
        <f t="shared" si="10"/>
        <v>0.65527832846111944</v>
      </c>
      <c r="S67" s="21">
        <f t="shared" si="11"/>
        <v>1.4569941321788542</v>
      </c>
      <c r="T67" s="21">
        <f t="shared" si="12"/>
        <v>0.99368649951269172</v>
      </c>
      <c r="U67" s="21">
        <f t="shared" si="13"/>
        <v>1.2208684563570784</v>
      </c>
      <c r="Y67" s="21">
        <f t="shared" si="14"/>
        <v>5.2043480771261024</v>
      </c>
      <c r="Z67" s="21">
        <f t="shared" si="15"/>
        <v>5.2043480771261024</v>
      </c>
      <c r="AB67" s="21">
        <f t="shared" si="4"/>
        <v>5.2384113019181555E-3</v>
      </c>
      <c r="AD67" s="1">
        <f t="shared" si="16"/>
        <v>-5.4955240408378546E-5</v>
      </c>
      <c r="AE67" s="1">
        <f t="shared" si="5"/>
        <v>-4.5933562049453151E-5</v>
      </c>
      <c r="AF67" s="1">
        <f t="shared" si="17"/>
        <v>-3.878519450770816E-5</v>
      </c>
      <c r="AG67" s="1">
        <f t="shared" si="6"/>
        <v>-3.2418057409649802E-5</v>
      </c>
      <c r="AH67" s="1">
        <f t="shared" si="18"/>
        <v>-6.6944878642207143E-5</v>
      </c>
      <c r="AI67" s="1">
        <f t="shared" si="7"/>
        <v>-5.5954931943780773E-5</v>
      </c>
      <c r="AJ67" s="1">
        <f t="shared" si="19"/>
        <v>-4.2404766069097985E-5</v>
      </c>
      <c r="AK67" s="1">
        <f t="shared" si="8"/>
        <v>-3.5443425212102127E-5</v>
      </c>
      <c r="AL67" s="1">
        <f t="shared" si="20"/>
        <v>-5.1356973548217209E-5</v>
      </c>
      <c r="AM67" s="1">
        <f t="shared" si="21"/>
        <v>-3.3653111781497698E-5</v>
      </c>
      <c r="AN67" s="1">
        <f t="shared" si="22"/>
        <v>-7.4826809106217103E-5</v>
      </c>
      <c r="AO67" s="1">
        <f t="shared" si="23"/>
        <v>-5.1032731270693863E-5</v>
      </c>
      <c r="AP67" s="1">
        <f t="shared" si="24"/>
        <v>-6.2700109018983246E-5</v>
      </c>
    </row>
    <row r="68" spans="2:42" x14ac:dyDescent="0.3">
      <c r="B68" s="1">
        <v>0.82626376165634297</v>
      </c>
      <c r="C68" s="1"/>
      <c r="D68" s="4"/>
      <c r="E68" s="1"/>
      <c r="G68" s="4"/>
      <c r="H68" s="4"/>
      <c r="I68" s="1">
        <f t="shared" si="9"/>
        <v>5.2048135411479466</v>
      </c>
      <c r="M68" s="1">
        <f t="shared" si="0"/>
        <v>0.65236765714280476</v>
      </c>
      <c r="N68" s="1">
        <f t="shared" si="1"/>
        <v>1.4527594194515181</v>
      </c>
      <c r="O68" s="1">
        <f t="shared" si="2"/>
        <v>0.99694494154803337</v>
      </c>
      <c r="P68" s="1">
        <f t="shared" si="3"/>
        <v>1.2199142319996119</v>
      </c>
      <c r="R68" s="21">
        <f t="shared" si="10"/>
        <v>0.65236765714280476</v>
      </c>
      <c r="S68" s="21">
        <f t="shared" si="11"/>
        <v>1.4527594194515181</v>
      </c>
      <c r="T68" s="21">
        <f t="shared" si="12"/>
        <v>0.99694494154803337</v>
      </c>
      <c r="U68" s="21">
        <f t="shared" si="13"/>
        <v>1.2199142319996119</v>
      </c>
      <c r="Y68" s="21">
        <f t="shared" si="14"/>
        <v>5.2014949406818101</v>
      </c>
      <c r="Z68" s="21">
        <f t="shared" si="15"/>
        <v>5.2014949406818101</v>
      </c>
      <c r="AB68" s="21">
        <f t="shared" si="4"/>
        <v>3.3186004661365232E-3</v>
      </c>
      <c r="AD68" s="1">
        <f t="shared" si="16"/>
        <v>-3.4814846701538969E-5</v>
      </c>
      <c r="AE68" s="1">
        <f t="shared" si="5"/>
        <v>-2.8766246197102512E-5</v>
      </c>
      <c r="AF68" s="1">
        <f t="shared" si="17"/>
        <v>-2.4570916095371355E-5</v>
      </c>
      <c r="AG68" s="1">
        <f t="shared" si="6"/>
        <v>-2.0302057560303918E-5</v>
      </c>
      <c r="AH68" s="1">
        <f t="shared" si="18"/>
        <v>-4.2410435657492532E-5</v>
      </c>
      <c r="AI68" s="1">
        <f t="shared" si="7"/>
        <v>-3.5042206099844081E-5</v>
      </c>
      <c r="AJ68" s="1">
        <f t="shared" si="19"/>
        <v>-2.6863960909634865E-5</v>
      </c>
      <c r="AK68" s="1">
        <f t="shared" si="8"/>
        <v>-2.2196717394183855E-5</v>
      </c>
      <c r="AL68" s="1">
        <f t="shared" si="20"/>
        <v>-3.2535298687612972E-5</v>
      </c>
      <c r="AM68" s="1">
        <f t="shared" si="21"/>
        <v>-2.1224976579279445E-5</v>
      </c>
      <c r="AN68" s="1">
        <f t="shared" si="22"/>
        <v>-4.7265961633098362E-5</v>
      </c>
      <c r="AO68" s="1">
        <f t="shared" si="23"/>
        <v>-3.2435901448370123E-5</v>
      </c>
      <c r="AP68" s="1">
        <f t="shared" si="24"/>
        <v>-3.9690273911377359E-5</v>
      </c>
    </row>
    <row r="69" spans="2:42" x14ac:dyDescent="0.3">
      <c r="B69" s="1">
        <v>0.49872396599346436</v>
      </c>
      <c r="C69" s="1"/>
      <c r="D69" s="4"/>
      <c r="E69" s="1"/>
      <c r="G69" s="4"/>
      <c r="H69" s="4"/>
      <c r="I69" s="1">
        <f t="shared" si="9"/>
        <v>5.0746176782768755</v>
      </c>
      <c r="M69" s="1">
        <f t="shared" ref="M69:M132" si="28">+$K$7+$K$9*B69</f>
        <v>0.55277004762188819</v>
      </c>
      <c r="N69" s="1">
        <f t="shared" ref="N69:N132" si="29">+$K$15+$K$17*B69</f>
        <v>1.3078556434749578</v>
      </c>
      <c r="O69" s="1">
        <f t="shared" ref="O69:O132" si="30">+$K$23+$K$25*B69</f>
        <v>1.1084426003322601</v>
      </c>
      <c r="P69" s="1">
        <f t="shared" ref="P69:P132" si="31">+$K$31+$K$33*B69</f>
        <v>1.187262498238983</v>
      </c>
      <c r="R69" s="21">
        <f t="shared" si="10"/>
        <v>0.55277004762188819</v>
      </c>
      <c r="S69" s="21">
        <f t="shared" si="11"/>
        <v>1.3078556434749578</v>
      </c>
      <c r="T69" s="21">
        <f t="shared" si="12"/>
        <v>1.1084426003322601</v>
      </c>
      <c r="U69" s="21">
        <f t="shared" si="13"/>
        <v>1.187262498238983</v>
      </c>
      <c r="Y69" s="21">
        <f t="shared" si="14"/>
        <v>5.1038660645869935</v>
      </c>
      <c r="Z69" s="21">
        <f t="shared" si="15"/>
        <v>5.1038660645869935</v>
      </c>
      <c r="AB69" s="21">
        <f t="shared" ref="AB69:AB132" si="32">+I69-Z69</f>
        <v>-2.9248386310118057E-2</v>
      </c>
      <c r="AD69" s="1">
        <f t="shared" si="16"/>
        <v>3.0683961388085348E-4</v>
      </c>
      <c r="AE69" s="1">
        <f t="shared" ref="AE69:AE132" si="33">+(2/$AT$5)*(-1)*($AB69)*($W$9)*($B69)</f>
        <v>1.530282691585625E-4</v>
      </c>
      <c r="AF69" s="1">
        <f t="shared" si="17"/>
        <v>2.1655503676451128E-4</v>
      </c>
      <c r="AG69" s="1">
        <f t="shared" ref="AG69:AG132" si="34">+(2/$AT$5)*(-1)*($AB69)*($W$11)*($B69)</f>
        <v>1.0800118679105754E-4</v>
      </c>
      <c r="AH69" s="1">
        <f t="shared" si="18"/>
        <v>3.7378311078671355E-4</v>
      </c>
      <c r="AI69" s="1">
        <f t="shared" ref="AI69:AI132" si="35">+(2/$AT$5)*(-1)*($AB69)*($W$13)*($B69)</f>
        <v>1.8641459543292425E-4</v>
      </c>
      <c r="AJ69" s="1">
        <f t="shared" si="19"/>
        <v>2.3676471889960471E-4</v>
      </c>
      <c r="AK69" s="1">
        <f t="shared" ref="AK69:AK132" si="36">+(2/$AT$5)*(-1)*($AB69)*($W$15)*($B69)</f>
        <v>1.180802396169386E-4</v>
      </c>
      <c r="AL69" s="1">
        <f t="shared" si="20"/>
        <v>2.867488853933143E-4</v>
      </c>
      <c r="AM69" s="1">
        <f t="shared" si="21"/>
        <v>1.5850619503438571E-4</v>
      </c>
      <c r="AN69" s="1">
        <f t="shared" si="22"/>
        <v>3.7502614802179999E-4</v>
      </c>
      <c r="AO69" s="1">
        <f t="shared" si="23"/>
        <v>3.1784468016774251E-4</v>
      </c>
      <c r="AP69" s="1">
        <f t="shared" si="24"/>
        <v>3.4044619803931016E-4</v>
      </c>
    </row>
    <row r="70" spans="2:42" x14ac:dyDescent="0.3">
      <c r="B70" s="1">
        <v>0.64580787005674778</v>
      </c>
      <c r="C70" s="1"/>
      <c r="D70" s="4"/>
      <c r="E70" s="1"/>
      <c r="G70" s="4"/>
      <c r="H70" s="4"/>
      <c r="I70" s="1">
        <f t="shared" ref="I70:I133" si="37">+B70*B70*$G$10+$G$8</f>
        <v>5.1251203415081701</v>
      </c>
      <c r="M70" s="1">
        <f t="shared" si="28"/>
        <v>0.59749501062694721</v>
      </c>
      <c r="N70" s="1">
        <f t="shared" si="29"/>
        <v>1.372925639140707</v>
      </c>
      <c r="O70" s="1">
        <f t="shared" si="30"/>
        <v>1.0583738417720661</v>
      </c>
      <c r="P70" s="1">
        <f t="shared" si="31"/>
        <v>1.2019249744923761</v>
      </c>
      <c r="R70" s="21">
        <f t="shared" ref="R70:R133" si="38">+IF(M70&gt;=0,M70,0)</f>
        <v>0.59749501062694721</v>
      </c>
      <c r="S70" s="21">
        <f t="shared" ref="S70:S133" si="39">+IF(N70&gt;=0,N70,0)</f>
        <v>1.372925639140707</v>
      </c>
      <c r="T70" s="21">
        <f t="shared" ref="T70:T133" si="40">+IF(O70&gt;=0,O70,0)</f>
        <v>1.0583738417720661</v>
      </c>
      <c r="U70" s="21">
        <f t="shared" ref="U70:U133" si="41">+IF(P70&gt;=0,P70,0)</f>
        <v>1.2019249744923761</v>
      </c>
      <c r="Y70" s="21">
        <f t="shared" ref="Y70:Y133" si="42">+$W$7+$W$9*M70+$W$11*N70+$W$13*O70+P70*$W$15</f>
        <v>5.1477069548711025</v>
      </c>
      <c r="Z70" s="21">
        <f t="shared" ref="Z70:Z133" si="43">+IF(Y70&gt;=0,Y70,0)</f>
        <v>5.1477069548711025</v>
      </c>
      <c r="AB70" s="21">
        <f t="shared" si="32"/>
        <v>-2.2586613362932439E-2</v>
      </c>
      <c r="AD70" s="1">
        <f t="shared" ref="AD70:AD133" si="44">+(2/$AT$5)*(-1)*($AB70)*$W$9</f>
        <v>2.3695213984372258E-4</v>
      </c>
      <c r="AE70" s="1">
        <f t="shared" si="33"/>
        <v>1.5302555673786313E-4</v>
      </c>
      <c r="AF70" s="1">
        <f t="shared" ref="AF70:AF133" si="45">+(2/$AT$5)*(-1)*($AB70)*$W$11</f>
        <v>1.6723127338835717E-4</v>
      </c>
      <c r="AG70" s="1">
        <f t="shared" si="34"/>
        <v>1.0799927247381263E-4</v>
      </c>
      <c r="AH70" s="1">
        <f t="shared" ref="AH70:AH133" si="46">+(2/$AT$5)*(-1)*($AB70)*$W$13</f>
        <v>2.886482185860996E-4</v>
      </c>
      <c r="AI70" s="1">
        <f t="shared" si="35"/>
        <v>1.8641129124076354E-4</v>
      </c>
      <c r="AJ70" s="1">
        <f t="shared" ref="AJ70:AJ133" si="47">+(2/$AT$5)*(-1)*($AB70)*$W$15</f>
        <v>1.8283788743308514E-4</v>
      </c>
      <c r="AK70" s="1">
        <f t="shared" si="36"/>
        <v>1.1807814664883613E-4</v>
      </c>
      <c r="AL70" s="1">
        <f t="shared" ref="AL70:AL133" si="48">+(2/$AT$5)*(-1)*($AB70)</f>
        <v>2.2143738591110234E-4</v>
      </c>
      <c r="AM70" s="1">
        <f t="shared" ref="AM70:AM133" si="49">+(2/$AT$5)*(-1)*($AB70)*R70</f>
        <v>1.323077332481575E-4</v>
      </c>
      <c r="AN70" s="1">
        <f t="shared" ref="AN70:AN133" si="50">+(2/$AT$5)*(-1)*($AB70)*S70</f>
        <v>3.0401706458164755E-4</v>
      </c>
      <c r="AO70" s="1">
        <f t="shared" ref="AO70:AO133" si="51">+(2/$AT$5)*(-1)*($AB70)*T70</f>
        <v>2.3436353683869694E-4</v>
      </c>
      <c r="AP70" s="1">
        <f t="shared" ref="AP70:AP133" si="52">+(2/$AT$5)*(-1)*($AB70)*U70</f>
        <v>2.6615112441286012E-4</v>
      </c>
    </row>
    <row r="71" spans="2:42" x14ac:dyDescent="0.3">
      <c r="B71" s="1">
        <v>0.91167895786357811</v>
      </c>
      <c r="C71" s="1"/>
      <c r="D71" s="4"/>
      <c r="E71" s="1"/>
      <c r="G71" s="4"/>
      <c r="H71" s="4"/>
      <c r="I71" s="1">
        <f t="shared" si="37"/>
        <v>5.2493475566633663</v>
      </c>
      <c r="M71" s="1">
        <f t="shared" si="28"/>
        <v>0.67834052966592462</v>
      </c>
      <c r="N71" s="1">
        <f t="shared" si="29"/>
        <v>1.4905471466837419</v>
      </c>
      <c r="O71" s="1">
        <f t="shared" si="30"/>
        <v>0.96786879712891594</v>
      </c>
      <c r="P71" s="1">
        <f t="shared" si="31"/>
        <v>1.2284290881563307</v>
      </c>
      <c r="R71" s="21">
        <f t="shared" si="38"/>
        <v>0.67834052966592462</v>
      </c>
      <c r="S71" s="21">
        <f t="shared" si="39"/>
        <v>1.4905471466837419</v>
      </c>
      <c r="T71" s="21">
        <f t="shared" si="40"/>
        <v>0.96786879712891594</v>
      </c>
      <c r="U71" s="21">
        <f t="shared" si="41"/>
        <v>1.2284290881563307</v>
      </c>
      <c r="Y71" s="21">
        <f t="shared" si="42"/>
        <v>5.2269544106990455</v>
      </c>
      <c r="Z71" s="21">
        <f t="shared" si="43"/>
        <v>5.2269544106990455</v>
      </c>
      <c r="AB71" s="21">
        <f t="shared" si="32"/>
        <v>2.2393145964320738E-2</v>
      </c>
      <c r="AD71" s="1">
        <f t="shared" si="44"/>
        <v>-2.3492250780662071E-4</v>
      </c>
      <c r="AE71" s="1">
        <f t="shared" si="33"/>
        <v>-2.1417390709583826E-4</v>
      </c>
      <c r="AF71" s="1">
        <f t="shared" si="45"/>
        <v>-1.6579884087140158E-4</v>
      </c>
      <c r="AG71" s="1">
        <f t="shared" si="34"/>
        <v>-1.5115531446062861E-4</v>
      </c>
      <c r="AH71" s="1">
        <f t="shared" si="46"/>
        <v>-2.8617577975401678E-4</v>
      </c>
      <c r="AI71" s="1">
        <f t="shared" si="35"/>
        <v>-2.6090043665193889E-4</v>
      </c>
      <c r="AJ71" s="1">
        <f t="shared" si="47"/>
        <v>-1.8127177524614744E-4</v>
      </c>
      <c r="AK71" s="1">
        <f t="shared" si="36"/>
        <v>-1.6526166314648845E-4</v>
      </c>
      <c r="AL71" s="1">
        <f t="shared" si="48"/>
        <v>-2.1954064670902683E-4</v>
      </c>
      <c r="AM71" s="1">
        <f t="shared" si="49"/>
        <v>-1.4892331857180088E-4</v>
      </c>
      <c r="AN71" s="1">
        <f t="shared" si="50"/>
        <v>-3.2723568453324334E-4</v>
      </c>
      <c r="AO71" s="1">
        <f t="shared" si="51"/>
        <v>-2.1248654165117008E-4</v>
      </c>
      <c r="AP71" s="1">
        <f t="shared" si="52"/>
        <v>-2.6969011645002096E-4</v>
      </c>
    </row>
    <row r="72" spans="2:42" x14ac:dyDescent="0.3">
      <c r="B72" s="1">
        <v>0.48989557028498576</v>
      </c>
      <c r="C72" s="1"/>
      <c r="D72" s="4"/>
      <c r="E72" s="1"/>
      <c r="G72" s="4"/>
      <c r="H72" s="4"/>
      <c r="I72" s="1">
        <f t="shared" si="37"/>
        <v>5.0719993009354551</v>
      </c>
      <c r="M72" s="1">
        <f t="shared" si="28"/>
        <v>0.55008552769450136</v>
      </c>
      <c r="N72" s="1">
        <f t="shared" si="29"/>
        <v>1.3039499566212891</v>
      </c>
      <c r="O72" s="1">
        <f t="shared" si="30"/>
        <v>1.1114478701203905</v>
      </c>
      <c r="P72" s="1">
        <f t="shared" si="31"/>
        <v>1.1863824145666362</v>
      </c>
      <c r="R72" s="21">
        <f t="shared" si="38"/>
        <v>0.55008552769450136</v>
      </c>
      <c r="S72" s="21">
        <f t="shared" si="39"/>
        <v>1.3039499566212891</v>
      </c>
      <c r="T72" s="21">
        <f t="shared" si="40"/>
        <v>1.1114478701203905</v>
      </c>
      <c r="U72" s="21">
        <f t="shared" si="41"/>
        <v>1.1863824145666362</v>
      </c>
      <c r="Y72" s="21">
        <f t="shared" si="42"/>
        <v>5.1012346092275154</v>
      </c>
      <c r="Z72" s="21">
        <f t="shared" si="43"/>
        <v>5.1012346092275154</v>
      </c>
      <c r="AB72" s="21">
        <f t="shared" si="32"/>
        <v>-2.9235308292060225E-2</v>
      </c>
      <c r="AD72" s="1">
        <f t="shared" si="44"/>
        <v>3.0670241472160266E-4</v>
      </c>
      <c r="AE72" s="1">
        <f t="shared" si="33"/>
        <v>1.5025215436782175E-4</v>
      </c>
      <c r="AF72" s="1">
        <f t="shared" si="45"/>
        <v>2.1645820712573079E-4</v>
      </c>
      <c r="AG72" s="1">
        <f t="shared" si="34"/>
        <v>1.0604191682272546E-4</v>
      </c>
      <c r="AH72" s="1">
        <f t="shared" si="46"/>
        <v>3.7361597875348781E-4</v>
      </c>
      <c r="AI72" s="1">
        <f t="shared" si="35"/>
        <v>1.8303281297902304E-4</v>
      </c>
      <c r="AJ72" s="1">
        <f t="shared" si="47"/>
        <v>2.3665885277638013E-4</v>
      </c>
      <c r="AK72" s="1">
        <f t="shared" si="36"/>
        <v>1.1593812364387524E-4</v>
      </c>
      <c r="AL72" s="1">
        <f t="shared" si="48"/>
        <v>2.866206695300022E-4</v>
      </c>
      <c r="AM72" s="1">
        <f t="shared" si="49"/>
        <v>1.5766588224656254E-4</v>
      </c>
      <c r="AN72" s="1">
        <f t="shared" si="50"/>
        <v>3.7373900960041123E-4</v>
      </c>
      <c r="AO72" s="1">
        <f t="shared" si="51"/>
        <v>3.1856393268160123E-4</v>
      </c>
      <c r="AP72" s="1">
        <f t="shared" si="52"/>
        <v>3.400417219817099E-4</v>
      </c>
    </row>
    <row r="73" spans="2:42" x14ac:dyDescent="0.3">
      <c r="B73" s="1">
        <v>0.19985728668481439</v>
      </c>
      <c r="C73" s="1"/>
      <c r="D73" s="4"/>
      <c r="E73" s="1"/>
      <c r="G73" s="4"/>
      <c r="H73" s="4"/>
      <c r="I73" s="1">
        <f t="shared" si="37"/>
        <v>5.0119828805123046</v>
      </c>
      <c r="M73" s="1">
        <f t="shared" si="28"/>
        <v>0.46189129878358487</v>
      </c>
      <c r="N73" s="1">
        <f t="shared" si="29"/>
        <v>1.1756368690883092</v>
      </c>
      <c r="O73" s="1">
        <f t="shared" si="30"/>
        <v>1.2101796578525268</v>
      </c>
      <c r="P73" s="1">
        <f t="shared" si="31"/>
        <v>1.1574691254277194</v>
      </c>
      <c r="R73" s="21">
        <f t="shared" si="38"/>
        <v>0.46189129878358487</v>
      </c>
      <c r="S73" s="21">
        <f t="shared" si="39"/>
        <v>1.1756368690883092</v>
      </c>
      <c r="T73" s="21">
        <f t="shared" si="40"/>
        <v>1.2101796578525268</v>
      </c>
      <c r="U73" s="21">
        <f t="shared" si="41"/>
        <v>1.1574691254277194</v>
      </c>
      <c r="Y73" s="21">
        <f t="shared" si="42"/>
        <v>5.0147837045518004</v>
      </c>
      <c r="Z73" s="21">
        <f t="shared" si="43"/>
        <v>5.0147837045518004</v>
      </c>
      <c r="AB73" s="21">
        <f t="shared" si="32"/>
        <v>-2.8008240394958861E-3</v>
      </c>
      <c r="AD73" s="1">
        <f t="shared" si="44"/>
        <v>2.9382946385997084E-5</v>
      </c>
      <c r="AE73" s="1">
        <f t="shared" si="33"/>
        <v>5.8723959395107504E-6</v>
      </c>
      <c r="AF73" s="1">
        <f t="shared" si="45"/>
        <v>2.0737299706484573E-5</v>
      </c>
      <c r="AG73" s="1">
        <f t="shared" si="34"/>
        <v>4.144500452507805E-6</v>
      </c>
      <c r="AH73" s="1">
        <f t="shared" si="46"/>
        <v>3.5793452368578056E-5</v>
      </c>
      <c r="AI73" s="1">
        <f t="shared" si="35"/>
        <v>7.1535822714661537E-6</v>
      </c>
      <c r="AJ73" s="1">
        <f t="shared" si="47"/>
        <v>2.2672577877197153E-5</v>
      </c>
      <c r="AK73" s="1">
        <f t="shared" si="36"/>
        <v>4.5312798966867718E-6</v>
      </c>
      <c r="AL73" s="1">
        <f t="shared" si="48"/>
        <v>2.745905921074398E-5</v>
      </c>
      <c r="AM73" s="1">
        <f t="shared" si="49"/>
        <v>1.2683100522225896E-5</v>
      </c>
      <c r="AN73" s="1">
        <f t="shared" si="50"/>
        <v>3.2281882398629552E-5</v>
      </c>
      <c r="AO73" s="1">
        <f t="shared" si="51"/>
        <v>3.3230394880610421E-5</v>
      </c>
      <c r="AP73" s="1">
        <f t="shared" si="52"/>
        <v>3.1783013249727796E-5</v>
      </c>
    </row>
    <row r="74" spans="2:42" x14ac:dyDescent="0.3">
      <c r="B74" s="1">
        <v>0.24203133614843619</v>
      </c>
      <c r="C74" s="1"/>
      <c r="D74" s="4"/>
      <c r="E74" s="1"/>
      <c r="G74" s="4"/>
      <c r="H74" s="4"/>
      <c r="I74" s="1">
        <f t="shared" si="37"/>
        <v>5.0175737503033391</v>
      </c>
      <c r="M74" s="1">
        <f t="shared" si="28"/>
        <v>0.47471549470119156</v>
      </c>
      <c r="N74" s="1">
        <f t="shared" si="29"/>
        <v>1.1942946905085525</v>
      </c>
      <c r="O74" s="1">
        <f t="shared" si="30"/>
        <v>1.1958232106698954</v>
      </c>
      <c r="P74" s="1">
        <f t="shared" si="31"/>
        <v>1.1616733651962241</v>
      </c>
      <c r="R74" s="21">
        <f t="shared" si="38"/>
        <v>0.47471549470119156</v>
      </c>
      <c r="S74" s="21">
        <f t="shared" si="39"/>
        <v>1.1942946905085525</v>
      </c>
      <c r="T74" s="21">
        <f t="shared" si="40"/>
        <v>1.1958232106698954</v>
      </c>
      <c r="U74" s="21">
        <f t="shared" si="41"/>
        <v>1.1616733651962241</v>
      </c>
      <c r="Y74" s="21">
        <f t="shared" si="42"/>
        <v>5.0273544062009474</v>
      </c>
      <c r="Z74" s="21">
        <f t="shared" si="43"/>
        <v>5.0273544062009474</v>
      </c>
      <c r="AB74" s="21">
        <f t="shared" si="32"/>
        <v>-9.780655897608348E-3</v>
      </c>
      <c r="AD74" s="1">
        <f t="shared" si="44"/>
        <v>1.0260711983571733E-4</v>
      </c>
      <c r="AE74" s="1">
        <f t="shared" si="33"/>
        <v>2.4834138312181376E-5</v>
      </c>
      <c r="AF74" s="1">
        <f t="shared" si="45"/>
        <v>7.2415971090852998E-5</v>
      </c>
      <c r="AG74" s="1">
        <f t="shared" si="34"/>
        <v>1.7526934241605678E-5</v>
      </c>
      <c r="AH74" s="1">
        <f t="shared" si="46"/>
        <v>1.2499301493695662E-4</v>
      </c>
      <c r="AI74" s="1">
        <f t="shared" si="35"/>
        <v>3.0252226414413054E-5</v>
      </c>
      <c r="AJ74" s="1">
        <f t="shared" si="47"/>
        <v>7.9174085698188181E-5</v>
      </c>
      <c r="AK74" s="1">
        <f t="shared" si="36"/>
        <v>1.9162609749863279E-5</v>
      </c>
      <c r="AL74" s="1">
        <f t="shared" si="48"/>
        <v>9.588878330988576E-5</v>
      </c>
      <c r="AM74" s="1">
        <f t="shared" si="49"/>
        <v>4.5519891205247779E-5</v>
      </c>
      <c r="AN74" s="1">
        <f t="shared" si="50"/>
        <v>1.1451946478632167E-4</v>
      </c>
      <c r="AO74" s="1">
        <f t="shared" si="51"/>
        <v>1.1466603272485747E-4</v>
      </c>
      <c r="AP74" s="1">
        <f t="shared" si="52"/>
        <v>1.1139144559216652E-4</v>
      </c>
    </row>
    <row r="75" spans="2:42" x14ac:dyDescent="0.3">
      <c r="B75" s="1">
        <v>0.17017769500722013</v>
      </c>
      <c r="C75" s="1"/>
      <c r="D75" s="4"/>
      <c r="E75" s="1"/>
      <c r="G75" s="4"/>
      <c r="H75" s="4"/>
      <c r="I75" s="1">
        <f t="shared" si="37"/>
        <v>5.0086881343633909</v>
      </c>
      <c r="M75" s="1">
        <f t="shared" si="28"/>
        <v>0.452866391209643</v>
      </c>
      <c r="N75" s="1">
        <f t="shared" si="29"/>
        <v>1.1625066022918054</v>
      </c>
      <c r="O75" s="1">
        <f t="shared" si="30"/>
        <v>1.2202828728802653</v>
      </c>
      <c r="P75" s="1">
        <f t="shared" si="31"/>
        <v>1.1545104311303753</v>
      </c>
      <c r="R75" s="21">
        <f t="shared" si="38"/>
        <v>0.452866391209643</v>
      </c>
      <c r="S75" s="21">
        <f t="shared" si="39"/>
        <v>1.1625066022918054</v>
      </c>
      <c r="T75" s="21">
        <f t="shared" si="40"/>
        <v>1.2202828728802653</v>
      </c>
      <c r="U75" s="21">
        <f t="shared" si="41"/>
        <v>1.1545104311303753</v>
      </c>
      <c r="Y75" s="21">
        <f t="shared" si="42"/>
        <v>5.005937191191272</v>
      </c>
      <c r="Z75" s="21">
        <f t="shared" si="43"/>
        <v>5.005937191191272</v>
      </c>
      <c r="AB75" s="21">
        <f t="shared" si="32"/>
        <v>2.7509431721188804E-3</v>
      </c>
      <c r="AD75" s="1">
        <f t="shared" si="44"/>
        <v>-2.8859655086308945E-5</v>
      </c>
      <c r="AE75" s="1">
        <f t="shared" si="33"/>
        <v>-4.9112695812914526E-6</v>
      </c>
      <c r="AF75" s="1">
        <f t="shared" si="45"/>
        <v>-2.0367981790817668E-5</v>
      </c>
      <c r="AG75" s="1">
        <f t="shared" si="34"/>
        <v>-3.4661761931103823E-6</v>
      </c>
      <c r="AH75" s="1">
        <f t="shared" si="46"/>
        <v>-3.5155994097231756E-5</v>
      </c>
      <c r="AI75" s="1">
        <f t="shared" si="35"/>
        <v>-5.9827660411543367E-6</v>
      </c>
      <c r="AJ75" s="1">
        <f t="shared" si="47"/>
        <v>-2.2268793907108529E-5</v>
      </c>
      <c r="AK75" s="1">
        <f t="shared" si="36"/>
        <v>-3.7896520177025573E-6</v>
      </c>
      <c r="AL75" s="1">
        <f t="shared" si="48"/>
        <v>-2.6970031099204708E-5</v>
      </c>
      <c r="AM75" s="1">
        <f t="shared" si="49"/>
        <v>-1.2213820654708678E-5</v>
      </c>
      <c r="AN75" s="1">
        <f t="shared" si="50"/>
        <v>-3.1352839216840789E-5</v>
      </c>
      <c r="AO75" s="1">
        <f t="shared" si="51"/>
        <v>-3.2911067031407616E-5</v>
      </c>
      <c r="AP75" s="1">
        <f t="shared" si="52"/>
        <v>-3.1137182231942457E-5</v>
      </c>
    </row>
    <row r="76" spans="2:42" x14ac:dyDescent="0.3">
      <c r="B76" s="1">
        <v>0.11347656557001995</v>
      </c>
      <c r="C76" s="1"/>
      <c r="D76" s="4"/>
      <c r="E76" s="1"/>
      <c r="G76" s="4"/>
      <c r="H76" s="4"/>
      <c r="I76" s="1">
        <f t="shared" si="37"/>
        <v>5.0038630792800705</v>
      </c>
      <c r="M76" s="1">
        <f t="shared" si="28"/>
        <v>0.43562483148511505</v>
      </c>
      <c r="N76" s="1">
        <f t="shared" si="29"/>
        <v>1.1374219931347473</v>
      </c>
      <c r="O76" s="1">
        <f t="shared" si="30"/>
        <v>1.2395844761247645</v>
      </c>
      <c r="P76" s="1">
        <f t="shared" si="31"/>
        <v>1.1488580181813977</v>
      </c>
      <c r="R76" s="21">
        <f t="shared" si="38"/>
        <v>0.43562483148511505</v>
      </c>
      <c r="S76" s="21">
        <f t="shared" si="39"/>
        <v>1.1374219931347473</v>
      </c>
      <c r="T76" s="21">
        <f t="shared" si="40"/>
        <v>1.2395844761247645</v>
      </c>
      <c r="U76" s="21">
        <f t="shared" si="41"/>
        <v>1.1488580181813977</v>
      </c>
      <c r="Y76" s="21">
        <f t="shared" si="42"/>
        <v>4.9890364432102299</v>
      </c>
      <c r="Z76" s="21">
        <f t="shared" si="43"/>
        <v>4.9890364432102299</v>
      </c>
      <c r="AB76" s="21">
        <f t="shared" si="32"/>
        <v>1.4826636069840582E-2</v>
      </c>
      <c r="AD76" s="1">
        <f t="shared" si="44"/>
        <v>-1.555435995198142E-4</v>
      </c>
      <c r="AE76" s="1">
        <f t="shared" si="33"/>
        <v>-1.7650553469907121E-5</v>
      </c>
      <c r="AF76" s="1">
        <f t="shared" si="45"/>
        <v>-1.0977640561618376E-4</v>
      </c>
      <c r="AG76" s="1">
        <f t="shared" si="34"/>
        <v>-1.2457049489945983E-5</v>
      </c>
      <c r="AH76" s="1">
        <f t="shared" si="46"/>
        <v>-1.8947869786478953E-4</v>
      </c>
      <c r="AI76" s="1">
        <f t="shared" si="35"/>
        <v>-2.1501391882375789E-5</v>
      </c>
      <c r="AJ76" s="1">
        <f t="shared" si="47"/>
        <v>-1.2002112814299655E-4</v>
      </c>
      <c r="AK76" s="1">
        <f t="shared" si="36"/>
        <v>-1.3619585417506514E-5</v>
      </c>
      <c r="AL76" s="1">
        <f t="shared" si="48"/>
        <v>-1.4535917715529983E-4</v>
      </c>
      <c r="AM76" s="1">
        <f t="shared" si="49"/>
        <v>-6.3322067053092477E-5</v>
      </c>
      <c r="AN76" s="1">
        <f t="shared" si="50"/>
        <v>-1.6533472500040796E-4</v>
      </c>
      <c r="AO76" s="1">
        <f t="shared" si="51"/>
        <v>-1.8018497946397917E-4</v>
      </c>
      <c r="AP76" s="1">
        <f t="shared" si="52"/>
        <v>-1.6699705619111646E-4</v>
      </c>
    </row>
    <row r="77" spans="2:42" x14ac:dyDescent="0.3">
      <c r="B77" s="1">
        <v>0.97434771562178402</v>
      </c>
      <c r="C77" s="1"/>
      <c r="D77" s="4"/>
      <c r="E77" s="1"/>
      <c r="G77" s="4"/>
      <c r="H77" s="4"/>
      <c r="I77" s="1">
        <f t="shared" si="37"/>
        <v>5.2848060412812163</v>
      </c>
      <c r="M77" s="1">
        <f t="shared" si="28"/>
        <v>0.69739671321067764</v>
      </c>
      <c r="N77" s="1">
        <f t="shared" si="29"/>
        <v>1.5182718377141746</v>
      </c>
      <c r="O77" s="1">
        <f t="shared" si="30"/>
        <v>0.94653575649849553</v>
      </c>
      <c r="P77" s="1">
        <f t="shared" si="31"/>
        <v>1.2346764010646418</v>
      </c>
      <c r="R77" s="21">
        <f t="shared" si="38"/>
        <v>0.69739671321067764</v>
      </c>
      <c r="S77" s="21">
        <f t="shared" si="39"/>
        <v>1.5182718377141746</v>
      </c>
      <c r="T77" s="21">
        <f t="shared" si="40"/>
        <v>0.94653575649849553</v>
      </c>
      <c r="U77" s="21">
        <f t="shared" si="41"/>
        <v>1.2346764010646418</v>
      </c>
      <c r="Y77" s="21">
        <f t="shared" si="42"/>
        <v>5.2456339130593914</v>
      </c>
      <c r="Z77" s="21">
        <f t="shared" si="43"/>
        <v>5.2456339130593914</v>
      </c>
      <c r="AB77" s="21">
        <f t="shared" si="32"/>
        <v>3.917212822182492E-2</v>
      </c>
      <c r="AD77" s="1">
        <f t="shared" si="44"/>
        <v>-4.1094782361781267E-4</v>
      </c>
      <c r="AE77" s="1">
        <f t="shared" si="33"/>
        <v>-4.004060731817596E-4</v>
      </c>
      <c r="AF77" s="1">
        <f t="shared" si="45"/>
        <v>-2.9003041662804146E-4</v>
      </c>
      <c r="AG77" s="1">
        <f t="shared" si="34"/>
        <v>-2.825904739023665E-4</v>
      </c>
      <c r="AH77" s="1">
        <f t="shared" si="46"/>
        <v>-5.0060470986820163E-4</v>
      </c>
      <c r="AI77" s="1">
        <f t="shared" si="35"/>
        <v>-4.8776305548958824E-4</v>
      </c>
      <c r="AJ77" s="1">
        <f t="shared" si="47"/>
        <v>-3.1709708114499439E-4</v>
      </c>
      <c r="AK77" s="1">
        <f t="shared" si="36"/>
        <v>-3.0896281664396076E-4</v>
      </c>
      <c r="AL77" s="1">
        <f t="shared" si="48"/>
        <v>-3.8404047276298939E-4</v>
      </c>
      <c r="AM77" s="1">
        <f t="shared" si="49"/>
        <v>-2.6782856344478357E-4</v>
      </c>
      <c r="AN77" s="1">
        <f t="shared" si="50"/>
        <v>-5.8307783433848436E-4</v>
      </c>
      <c r="AO77" s="1">
        <f t="shared" si="51"/>
        <v>-3.6350803941275601E-4</v>
      </c>
      <c r="AP77" s="1">
        <f t="shared" si="52"/>
        <v>-4.7416570877417132E-4</v>
      </c>
    </row>
    <row r="78" spans="2:42" x14ac:dyDescent="0.3">
      <c r="B78" s="1">
        <v>0.34975812547399487</v>
      </c>
      <c r="C78" s="1"/>
      <c r="D78" s="4"/>
      <c r="E78" s="1"/>
      <c r="G78" s="4"/>
      <c r="H78" s="4"/>
      <c r="I78" s="1">
        <f t="shared" si="37"/>
        <v>5.0366992239005253</v>
      </c>
      <c r="M78" s="1">
        <f t="shared" si="28"/>
        <v>0.50747282935261895</v>
      </c>
      <c r="N78" s="1">
        <f t="shared" si="29"/>
        <v>1.2419530781420709</v>
      </c>
      <c r="O78" s="1">
        <f t="shared" si="30"/>
        <v>1.1591519879446297</v>
      </c>
      <c r="P78" s="1">
        <f t="shared" si="31"/>
        <v>1.1724124158109037</v>
      </c>
      <c r="R78" s="21">
        <f t="shared" si="38"/>
        <v>0.50747282935261895</v>
      </c>
      <c r="S78" s="21">
        <f t="shared" si="39"/>
        <v>1.2419530781420709</v>
      </c>
      <c r="T78" s="21">
        <f t="shared" si="40"/>
        <v>1.1591519879446297</v>
      </c>
      <c r="U78" s="21">
        <f t="shared" si="41"/>
        <v>1.1724124158109037</v>
      </c>
      <c r="Y78" s="21">
        <f t="shared" si="42"/>
        <v>5.0594642307365358</v>
      </c>
      <c r="Z78" s="21">
        <f t="shared" si="43"/>
        <v>5.0594642307365358</v>
      </c>
      <c r="AB78" s="21">
        <f t="shared" si="32"/>
        <v>-2.2765006836010571E-2</v>
      </c>
      <c r="AD78" s="1">
        <f t="shared" si="44"/>
        <v>2.3882363401156399E-4</v>
      </c>
      <c r="AE78" s="1">
        <f t="shared" si="33"/>
        <v>8.3530506550772026E-5</v>
      </c>
      <c r="AF78" s="1">
        <f t="shared" si="45"/>
        <v>1.6855209856863793E-4</v>
      </c>
      <c r="AG78" s="1">
        <f t="shared" si="34"/>
        <v>5.8952466040074818E-5</v>
      </c>
      <c r="AH78" s="1">
        <f t="shared" si="46"/>
        <v>2.9092801845622519E-4</v>
      </c>
      <c r="AI78" s="1">
        <f t="shared" si="35"/>
        <v>1.0175443838311311E-4</v>
      </c>
      <c r="AJ78" s="1">
        <f t="shared" si="47"/>
        <v>1.8428197669185758E-4</v>
      </c>
      <c r="AK78" s="1">
        <f t="shared" si="36"/>
        <v>6.4454118726386527E-5</v>
      </c>
      <c r="AL78" s="1">
        <f t="shared" si="48"/>
        <v>2.2318634152951539E-4</v>
      </c>
      <c r="AM78" s="1">
        <f t="shared" si="49"/>
        <v>1.132610042088431E-4</v>
      </c>
      <c r="AN78" s="1">
        <f t="shared" si="50"/>
        <v>2.7718696386184913E-4</v>
      </c>
      <c r="AO78" s="1">
        <f t="shared" si="51"/>
        <v>2.5870689146602685E-4</v>
      </c>
      <c r="AP78" s="1">
        <f t="shared" si="52"/>
        <v>2.6166643784861655E-4</v>
      </c>
    </row>
    <row r="79" spans="2:42" x14ac:dyDescent="0.3">
      <c r="B79" s="1">
        <v>0.67092359166712146</v>
      </c>
      <c r="C79" s="1"/>
      <c r="D79" s="4"/>
      <c r="E79" s="1"/>
      <c r="G79" s="4"/>
      <c r="H79" s="4"/>
      <c r="I79" s="1">
        <f t="shared" si="37"/>
        <v>5.1350415397566529</v>
      </c>
      <c r="M79" s="1">
        <f t="shared" si="28"/>
        <v>0.60513214622667966</v>
      </c>
      <c r="N79" s="1">
        <f t="shared" si="29"/>
        <v>1.3840368474454989</v>
      </c>
      <c r="O79" s="1">
        <f t="shared" si="30"/>
        <v>1.0498242114819034</v>
      </c>
      <c r="P79" s="1">
        <f t="shared" si="31"/>
        <v>1.2044287064543759</v>
      </c>
      <c r="R79" s="21">
        <f t="shared" si="38"/>
        <v>0.60513214622667966</v>
      </c>
      <c r="S79" s="21">
        <f t="shared" si="39"/>
        <v>1.3840368474454989</v>
      </c>
      <c r="T79" s="21">
        <f t="shared" si="40"/>
        <v>1.0498242114819034</v>
      </c>
      <c r="U79" s="21">
        <f t="shared" si="41"/>
        <v>1.2044287064543759</v>
      </c>
      <c r="Y79" s="21">
        <f t="shared" si="42"/>
        <v>5.1551931281715691</v>
      </c>
      <c r="Z79" s="21">
        <f t="shared" si="43"/>
        <v>5.1551931281715691</v>
      </c>
      <c r="AB79" s="21">
        <f t="shared" si="32"/>
        <v>-2.0151588414916155E-2</v>
      </c>
      <c r="AD79" s="1">
        <f t="shared" si="44"/>
        <v>2.1140672660562227E-4</v>
      </c>
      <c r="AE79" s="1">
        <f t="shared" si="33"/>
        <v>1.418377603168333E-4</v>
      </c>
      <c r="AF79" s="1">
        <f t="shared" si="45"/>
        <v>1.4920234996163974E-4</v>
      </c>
      <c r="AG79" s="1">
        <f t="shared" si="34"/>
        <v>1.0010337652143813E-4</v>
      </c>
      <c r="AH79" s="1">
        <f t="shared" si="46"/>
        <v>2.5752953770359491E-4</v>
      </c>
      <c r="AI79" s="1">
        <f t="shared" si="35"/>
        <v>1.7278264239646928E-4</v>
      </c>
      <c r="AJ79" s="1">
        <f t="shared" si="47"/>
        <v>1.631264410914742E-4</v>
      </c>
      <c r="AK79" s="1">
        <f t="shared" si="36"/>
        <v>1.0944537775296698E-4</v>
      </c>
      <c r="AL79" s="1">
        <f t="shared" si="48"/>
        <v>1.9756459230309956E-4</v>
      </c>
      <c r="AM79" s="1">
        <f t="shared" si="49"/>
        <v>1.1955268575877359E-4</v>
      </c>
      <c r="AN79" s="1">
        <f t="shared" si="50"/>
        <v>2.7343667549803717E-4</v>
      </c>
      <c r="AO79" s="1">
        <f t="shared" si="51"/>
        <v>2.0740809233134522E-4</v>
      </c>
      <c r="AP79" s="1">
        <f t="shared" si="52"/>
        <v>2.3795246634880835E-4</v>
      </c>
    </row>
    <row r="80" spans="2:42" x14ac:dyDescent="0.3">
      <c r="B80" s="1">
        <v>5.641990962705612E-2</v>
      </c>
      <c r="C80" s="1"/>
      <c r="D80" s="4"/>
      <c r="E80" s="1"/>
      <c r="G80" s="4"/>
      <c r="H80" s="4"/>
      <c r="I80" s="1">
        <f t="shared" si="37"/>
        <v>5.0009549618606979</v>
      </c>
      <c r="M80" s="1">
        <f t="shared" si="28"/>
        <v>0.41827516401134784</v>
      </c>
      <c r="N80" s="1">
        <f t="shared" si="29"/>
        <v>1.1121800988666062</v>
      </c>
      <c r="O80" s="1">
        <f t="shared" si="30"/>
        <v>1.2590071039701007</v>
      </c>
      <c r="P80" s="1">
        <f t="shared" si="31"/>
        <v>1.1431701635640645</v>
      </c>
      <c r="R80" s="21">
        <f t="shared" si="38"/>
        <v>0.41827516401134784</v>
      </c>
      <c r="S80" s="21">
        <f t="shared" si="39"/>
        <v>1.1121800988666062</v>
      </c>
      <c r="T80" s="21">
        <f t="shared" si="40"/>
        <v>1.2590071039701007</v>
      </c>
      <c r="U80" s="21">
        <f t="shared" si="41"/>
        <v>1.1431701635640645</v>
      </c>
      <c r="Y80" s="21">
        <f t="shared" si="42"/>
        <v>4.9720297244322351</v>
      </c>
      <c r="Z80" s="21">
        <f t="shared" si="43"/>
        <v>4.9720297244322351</v>
      </c>
      <c r="AB80" s="21">
        <f t="shared" si="32"/>
        <v>2.8925237428462758E-2</v>
      </c>
      <c r="AD80" s="1">
        <f t="shared" si="44"/>
        <v>-3.0344951649148604E-4</v>
      </c>
      <c r="AE80" s="1">
        <f t="shared" si="33"/>
        <v>-1.7120594296823516E-5</v>
      </c>
      <c r="AF80" s="1">
        <f t="shared" si="45"/>
        <v>-2.1416244261571662E-4</v>
      </c>
      <c r="AG80" s="1">
        <f t="shared" si="34"/>
        <v>-1.2083025657888325E-5</v>
      </c>
      <c r="AH80" s="1">
        <f t="shared" si="46"/>
        <v>-3.6965339255365734E-4</v>
      </c>
      <c r="AI80" s="1">
        <f t="shared" si="35"/>
        <v>-2.0855811001212048E-5</v>
      </c>
      <c r="AJ80" s="1">
        <f t="shared" si="47"/>
        <v>-2.3414883940059211E-4</v>
      </c>
      <c r="AK80" s="1">
        <f t="shared" si="36"/>
        <v>-1.3210656358261484E-5</v>
      </c>
      <c r="AL80" s="1">
        <f t="shared" si="48"/>
        <v>-2.8358075910257606E-4</v>
      </c>
      <c r="AM80" s="1">
        <f t="shared" si="49"/>
        <v>-1.1861478852409252E-4</v>
      </c>
      <c r="AN80" s="1">
        <f t="shared" si="50"/>
        <v>-3.1539287669537028E-4</v>
      </c>
      <c r="AO80" s="1">
        <f t="shared" si="51"/>
        <v>-3.5703019025937709E-4</v>
      </c>
      <c r="AP80" s="1">
        <f t="shared" si="52"/>
        <v>-3.2418106276691346E-4</v>
      </c>
    </row>
    <row r="81" spans="2:42" x14ac:dyDescent="0.3">
      <c r="B81" s="1">
        <v>0.23987743225271518</v>
      </c>
      <c r="C81" s="1"/>
      <c r="D81" s="4"/>
      <c r="E81" s="1"/>
      <c r="G81" s="4"/>
      <c r="H81" s="4"/>
      <c r="I81" s="1">
        <f t="shared" si="37"/>
        <v>5.0172623547512467</v>
      </c>
      <c r="M81" s="1">
        <f t="shared" si="28"/>
        <v>0.47406054015218041</v>
      </c>
      <c r="N81" s="1">
        <f t="shared" si="29"/>
        <v>1.1933418023046964</v>
      </c>
      <c r="O81" s="1">
        <f t="shared" si="30"/>
        <v>1.1965564200227714</v>
      </c>
      <c r="P81" s="1">
        <f t="shared" si="31"/>
        <v>1.1614586471757566</v>
      </c>
      <c r="R81" s="21">
        <f t="shared" si="38"/>
        <v>0.47406054015218041</v>
      </c>
      <c r="S81" s="21">
        <f t="shared" si="39"/>
        <v>1.1933418023046964</v>
      </c>
      <c r="T81" s="21">
        <f t="shared" si="40"/>
        <v>1.1965564200227714</v>
      </c>
      <c r="U81" s="21">
        <f t="shared" si="41"/>
        <v>1.1614586471757566</v>
      </c>
      <c r="Y81" s="21">
        <f t="shared" si="42"/>
        <v>5.0267123980561665</v>
      </c>
      <c r="Z81" s="21">
        <f t="shared" si="43"/>
        <v>5.0267123980561665</v>
      </c>
      <c r="AB81" s="21">
        <f t="shared" si="32"/>
        <v>-9.4500433049198307E-3</v>
      </c>
      <c r="AD81" s="1">
        <f t="shared" si="44"/>
        <v>9.9138721982615984E-5</v>
      </c>
      <c r="AE81" s="1">
        <f t="shared" si="33"/>
        <v>2.378114206600573E-5</v>
      </c>
      <c r="AF81" s="1">
        <f t="shared" si="45"/>
        <v>6.9968115629517522E-5</v>
      </c>
      <c r="AG81" s="1">
        <f t="shared" si="34"/>
        <v>1.6783771916769733E-5</v>
      </c>
      <c r="AH81" s="1">
        <f t="shared" si="46"/>
        <v>1.2076791335186081E-4</v>
      </c>
      <c r="AI81" s="1">
        <f t="shared" si="35"/>
        <v>2.8969496953362769E-5</v>
      </c>
      <c r="AJ81" s="1">
        <f t="shared" si="47"/>
        <v>7.6497787705451155E-5</v>
      </c>
      <c r="AK81" s="1">
        <f t="shared" si="36"/>
        <v>1.8350092887796947E-5</v>
      </c>
      <c r="AL81" s="1">
        <f t="shared" si="48"/>
        <v>9.2647483381566961E-5</v>
      </c>
      <c r="AM81" s="1">
        <f t="shared" si="49"/>
        <v>4.3920516015605794E-5</v>
      </c>
      <c r="AN81" s="1">
        <f t="shared" si="50"/>
        <v>1.1056011479755353E-4</v>
      </c>
      <c r="AO81" s="1">
        <f t="shared" si="51"/>
        <v>1.1085794103916697E-4</v>
      </c>
      <c r="AP81" s="1">
        <f t="shared" si="52"/>
        <v>1.0760622071259315E-4</v>
      </c>
    </row>
    <row r="82" spans="2:42" x14ac:dyDescent="0.3">
      <c r="B82" s="1">
        <v>0.80553353924265703</v>
      </c>
      <c r="C82" s="1"/>
      <c r="D82" s="4"/>
      <c r="E82" s="1"/>
      <c r="G82" s="4"/>
      <c r="H82" s="4"/>
      <c r="I82" s="1">
        <f t="shared" si="37"/>
        <v>5.19466528485344</v>
      </c>
      <c r="M82" s="1">
        <f t="shared" si="28"/>
        <v>0.64606405487956975</v>
      </c>
      <c r="N82" s="1">
        <f t="shared" si="29"/>
        <v>1.4435883582725315</v>
      </c>
      <c r="O82" s="1">
        <f t="shared" si="30"/>
        <v>1.004001706239861</v>
      </c>
      <c r="P82" s="1">
        <f t="shared" si="31"/>
        <v>1.2178476809666896</v>
      </c>
      <c r="R82" s="21">
        <f t="shared" si="38"/>
        <v>0.64606405487956975</v>
      </c>
      <c r="S82" s="21">
        <f t="shared" si="39"/>
        <v>1.4435883582725315</v>
      </c>
      <c r="T82" s="21">
        <f t="shared" si="40"/>
        <v>1.004001706239861</v>
      </c>
      <c r="U82" s="21">
        <f t="shared" si="41"/>
        <v>1.2178476809666896</v>
      </c>
      <c r="Y82" s="21">
        <f t="shared" si="42"/>
        <v>5.19531594093203</v>
      </c>
      <c r="Z82" s="21">
        <f t="shared" si="43"/>
        <v>5.19531594093203</v>
      </c>
      <c r="AB82" s="21">
        <f t="shared" si="32"/>
        <v>-6.5065607858993957E-4</v>
      </c>
      <c r="AD82" s="1">
        <f t="shared" si="44"/>
        <v>6.8259170884481341E-6</v>
      </c>
      <c r="AE82" s="1">
        <f t="shared" si="33"/>
        <v>5.4985051508345581E-6</v>
      </c>
      <c r="AF82" s="1">
        <f t="shared" si="45"/>
        <v>4.8174572616115162E-6</v>
      </c>
      <c r="AG82" s="1">
        <f t="shared" si="34"/>
        <v>3.8806233980961629E-6</v>
      </c>
      <c r="AH82" s="1">
        <f t="shared" si="46"/>
        <v>8.3151340565923438E-6</v>
      </c>
      <c r="AI82" s="1">
        <f t="shared" si="35"/>
        <v>6.6981193658839824E-6</v>
      </c>
      <c r="AJ82" s="1">
        <f t="shared" si="47"/>
        <v>5.2670394159275012E-6</v>
      </c>
      <c r="AK82" s="1">
        <f t="shared" si="36"/>
        <v>4.2427769020426571E-6</v>
      </c>
      <c r="AL82" s="1">
        <f t="shared" si="48"/>
        <v>6.378981162646466E-6</v>
      </c>
      <c r="AM82" s="1">
        <f t="shared" si="49"/>
        <v>4.1212304359397678E-6</v>
      </c>
      <c r="AN82" s="1">
        <f t="shared" si="50"/>
        <v>9.2086229440362162E-6</v>
      </c>
      <c r="AO82" s="1">
        <f t="shared" si="51"/>
        <v>6.4045079713689841E-6</v>
      </c>
      <c r="AP82" s="1">
        <f t="shared" si="52"/>
        <v>7.7686274158591968E-6</v>
      </c>
    </row>
    <row r="83" spans="2:42" x14ac:dyDescent="0.3">
      <c r="B83" s="1">
        <v>7.6134702415063926E-2</v>
      </c>
      <c r="C83" s="1"/>
      <c r="D83" s="4"/>
      <c r="E83" s="1"/>
      <c r="G83" s="4"/>
      <c r="H83" s="4"/>
      <c r="I83" s="1">
        <f t="shared" si="37"/>
        <v>5.001738947873549</v>
      </c>
      <c r="M83" s="1">
        <f t="shared" si="28"/>
        <v>0.42426999657791259</v>
      </c>
      <c r="N83" s="1">
        <f t="shared" si="29"/>
        <v>1.120901933451</v>
      </c>
      <c r="O83" s="1">
        <f t="shared" si="30"/>
        <v>1.2522960011716442</v>
      </c>
      <c r="P83" s="1">
        <f t="shared" si="31"/>
        <v>1.1451354886139786</v>
      </c>
      <c r="R83" s="21">
        <f t="shared" si="38"/>
        <v>0.42426999657791259</v>
      </c>
      <c r="S83" s="21">
        <f t="shared" si="39"/>
        <v>1.120901933451</v>
      </c>
      <c r="T83" s="21">
        <f t="shared" si="40"/>
        <v>1.2522960011716442</v>
      </c>
      <c r="U83" s="21">
        <f t="shared" si="41"/>
        <v>1.1451354886139786</v>
      </c>
      <c r="Y83" s="21">
        <f t="shared" si="42"/>
        <v>4.9779060578971199</v>
      </c>
      <c r="Z83" s="21">
        <f t="shared" si="43"/>
        <v>4.9779060578971199</v>
      </c>
      <c r="AB83" s="21">
        <f t="shared" si="32"/>
        <v>2.3832889976429072E-2</v>
      </c>
      <c r="AD83" s="1">
        <f t="shared" si="44"/>
        <v>-2.5002660592945519E-4</v>
      </c>
      <c r="AE83" s="1">
        <f t="shared" si="33"/>
        <v>-1.903570123828753E-5</v>
      </c>
      <c r="AF83" s="1">
        <f t="shared" si="45"/>
        <v>-1.7645870477526928E-4</v>
      </c>
      <c r="AG83" s="1">
        <f t="shared" si="34"/>
        <v>-1.3434630976612746E-5</v>
      </c>
      <c r="AH83" s="1">
        <f t="shared" si="46"/>
        <v>-3.0457515365028647E-4</v>
      </c>
      <c r="AI83" s="1">
        <f t="shared" si="35"/>
        <v>-2.3188738686186931E-5</v>
      </c>
      <c r="AJ83" s="1">
        <f t="shared" si="47"/>
        <v>-1.9292645536080037E-4</v>
      </c>
      <c r="AK83" s="1">
        <f t="shared" si="36"/>
        <v>-1.468839826688765E-5</v>
      </c>
      <c r="AL83" s="1">
        <f t="shared" si="48"/>
        <v>-2.3365578408263797E-4</v>
      </c>
      <c r="AM83" s="1">
        <f t="shared" si="49"/>
        <v>-9.9133138713150288E-5</v>
      </c>
      <c r="AN83" s="1">
        <f t="shared" si="50"/>
        <v>-2.6190522014023828E-4</v>
      </c>
      <c r="AO83" s="1">
        <f t="shared" si="51"/>
        <v>-2.9260620405731266E-4</v>
      </c>
      <c r="AP83" s="1">
        <f t="shared" si="52"/>
        <v>-2.6756753047295394E-4</v>
      </c>
    </row>
    <row r="84" spans="2:42" x14ac:dyDescent="0.3">
      <c r="B84" s="1">
        <v>0.69375139089965976</v>
      </c>
      <c r="C84" s="1"/>
      <c r="D84" s="4"/>
      <c r="E84" s="1"/>
      <c r="G84" s="4"/>
      <c r="H84" s="4"/>
      <c r="I84" s="1">
        <f t="shared" si="37"/>
        <v>5.144387297712564</v>
      </c>
      <c r="M84" s="1">
        <f t="shared" si="28"/>
        <v>0.61207357522031658</v>
      </c>
      <c r="N84" s="1">
        <f t="shared" si="29"/>
        <v>1.3941358777002355</v>
      </c>
      <c r="O84" s="1">
        <f t="shared" si="30"/>
        <v>1.0420534117093954</v>
      </c>
      <c r="P84" s="1">
        <f t="shared" si="31"/>
        <v>1.2067043603833083</v>
      </c>
      <c r="R84" s="21">
        <f t="shared" si="38"/>
        <v>0.61207357522031658</v>
      </c>
      <c r="S84" s="21">
        <f t="shared" si="39"/>
        <v>1.3941358777002355</v>
      </c>
      <c r="T84" s="21">
        <f t="shared" si="40"/>
        <v>1.0420534117093954</v>
      </c>
      <c r="U84" s="21">
        <f t="shared" si="41"/>
        <v>1.2067043603833083</v>
      </c>
      <c r="Y84" s="21">
        <f t="shared" si="42"/>
        <v>5.1619973468109563</v>
      </c>
      <c r="Z84" s="21">
        <f t="shared" si="43"/>
        <v>5.1619973468109563</v>
      </c>
      <c r="AB84" s="21">
        <f t="shared" si="32"/>
        <v>-1.7610049098392366E-2</v>
      </c>
      <c r="AD84" s="1">
        <f t="shared" si="44"/>
        <v>1.8474389008956492E-4</v>
      </c>
      <c r="AE84" s="1">
        <f t="shared" si="33"/>
        <v>1.2816633070984954E-4</v>
      </c>
      <c r="AF84" s="1">
        <f t="shared" si="45"/>
        <v>1.3038479420685053E-4</v>
      </c>
      <c r="AG84" s="1">
        <f t="shared" si="34"/>
        <v>9.045463233316845E-5</v>
      </c>
      <c r="AH84" s="1">
        <f t="shared" si="46"/>
        <v>2.2504964422009131E-4</v>
      </c>
      <c r="AI84" s="1">
        <f t="shared" si="35"/>
        <v>1.5612850369916192E-4</v>
      </c>
      <c r="AJ84" s="1">
        <f t="shared" si="47"/>
        <v>1.4255276446300042E-4</v>
      </c>
      <c r="AK84" s="1">
        <f t="shared" si="36"/>
        <v>9.8896178622798122E-5</v>
      </c>
      <c r="AL84" s="1">
        <f t="shared" si="48"/>
        <v>1.7264754018031731E-4</v>
      </c>
      <c r="AM84" s="1">
        <f t="shared" si="49"/>
        <v>1.0567299717116007E-4</v>
      </c>
      <c r="AN84" s="1">
        <f t="shared" si="50"/>
        <v>2.4069412996207334E-4</v>
      </c>
      <c r="AO84" s="1">
        <f t="shared" si="51"/>
        <v>1.7990795826813456E-4</v>
      </c>
      <c r="AP84" s="1">
        <f t="shared" si="52"/>
        <v>2.0833453954504131E-4</v>
      </c>
    </row>
    <row r="85" spans="2:42" x14ac:dyDescent="0.3">
      <c r="B85" s="1">
        <v>0.38897643621899536</v>
      </c>
      <c r="C85" s="1"/>
      <c r="D85" s="4"/>
      <c r="E85" s="1"/>
      <c r="G85" s="4"/>
      <c r="H85" s="4"/>
      <c r="I85" s="1">
        <f t="shared" si="37"/>
        <v>5.0453908003800887</v>
      </c>
      <c r="M85" s="1">
        <f t="shared" si="28"/>
        <v>0.51939825048120403</v>
      </c>
      <c r="N85" s="1">
        <f t="shared" si="29"/>
        <v>1.2593032792157195</v>
      </c>
      <c r="O85" s="1">
        <f t="shared" si="30"/>
        <v>1.1458017023077649</v>
      </c>
      <c r="P85" s="1">
        <f t="shared" si="31"/>
        <v>1.1763220043798157</v>
      </c>
      <c r="R85" s="21">
        <f t="shared" si="38"/>
        <v>0.51939825048120403</v>
      </c>
      <c r="S85" s="21">
        <f t="shared" si="39"/>
        <v>1.2593032792157195</v>
      </c>
      <c r="T85" s="21">
        <f t="shared" si="40"/>
        <v>1.1458017023077649</v>
      </c>
      <c r="U85" s="21">
        <f t="shared" si="41"/>
        <v>1.1763220043798157</v>
      </c>
      <c r="Y85" s="21">
        <f t="shared" si="42"/>
        <v>5.071153923564923</v>
      </c>
      <c r="Z85" s="21">
        <f t="shared" si="43"/>
        <v>5.071153923564923</v>
      </c>
      <c r="AB85" s="21">
        <f t="shared" si="32"/>
        <v>-2.5763123184834313E-2</v>
      </c>
      <c r="AD85" s="1">
        <f t="shared" si="44"/>
        <v>2.7027633889206232E-4</v>
      </c>
      <c r="AE85" s="1">
        <f t="shared" si="33"/>
        <v>1.0513112709655185E-4</v>
      </c>
      <c r="AF85" s="1">
        <f t="shared" si="45"/>
        <v>1.9075015042899668E-4</v>
      </c>
      <c r="AG85" s="1">
        <f t="shared" si="34"/>
        <v>7.4197313722108399E-5</v>
      </c>
      <c r="AH85" s="1">
        <f t="shared" si="46"/>
        <v>3.2924279054251187E-4</v>
      </c>
      <c r="AI85" s="1">
        <f t="shared" si="35"/>
        <v>1.2806768731602342E-4</v>
      </c>
      <c r="AJ85" s="1">
        <f t="shared" si="47"/>
        <v>2.085516292816143E-4</v>
      </c>
      <c r="AK85" s="1">
        <f t="shared" si="36"/>
        <v>8.1121669525627415E-5</v>
      </c>
      <c r="AL85" s="1">
        <f t="shared" si="48"/>
        <v>2.5257963906700305E-4</v>
      </c>
      <c r="AM85" s="1">
        <f t="shared" si="49"/>
        <v>1.3118942263857535E-4</v>
      </c>
      <c r="AN85" s="1">
        <f t="shared" si="50"/>
        <v>3.1807436774019979E-4</v>
      </c>
      <c r="AO85" s="1">
        <f t="shared" si="51"/>
        <v>2.8940618041125291E-4</v>
      </c>
      <c r="AP85" s="1">
        <f t="shared" si="52"/>
        <v>2.9711498729282742E-4</v>
      </c>
    </row>
    <row r="86" spans="2:42" x14ac:dyDescent="0.3">
      <c r="B86" s="1">
        <v>1.7521676125981323E-2</v>
      </c>
      <c r="C86" s="1"/>
      <c r="D86" s="4"/>
      <c r="E86" s="1"/>
      <c r="G86" s="4"/>
      <c r="H86" s="4"/>
      <c r="I86" s="1">
        <f t="shared" si="37"/>
        <v>5.0000921027402789</v>
      </c>
      <c r="M86" s="1">
        <f t="shared" si="28"/>
        <v>0.40644707129530738</v>
      </c>
      <c r="N86" s="1">
        <f t="shared" si="29"/>
        <v>1.094971500132164</v>
      </c>
      <c r="O86" s="1">
        <f t="shared" si="30"/>
        <v>1.2722484322717034</v>
      </c>
      <c r="P86" s="1">
        <f t="shared" si="31"/>
        <v>1.139292482803272</v>
      </c>
      <c r="R86" s="21">
        <f t="shared" si="38"/>
        <v>0.40644707129530738</v>
      </c>
      <c r="S86" s="21">
        <f t="shared" si="39"/>
        <v>1.094971500132164</v>
      </c>
      <c r="T86" s="21">
        <f t="shared" si="40"/>
        <v>1.2722484322717034</v>
      </c>
      <c r="U86" s="21">
        <f t="shared" si="41"/>
        <v>1.139292482803272</v>
      </c>
      <c r="Y86" s="21">
        <f t="shared" si="42"/>
        <v>4.9604354361378977</v>
      </c>
      <c r="Z86" s="21">
        <f t="shared" si="43"/>
        <v>4.9604354361378977</v>
      </c>
      <c r="AB86" s="21">
        <f t="shared" si="32"/>
        <v>3.9656666602381208E-2</v>
      </c>
      <c r="AD86" s="1">
        <f t="shared" si="44"/>
        <v>-4.1603102950903522E-4</v>
      </c>
      <c r="AE86" s="1">
        <f t="shared" si="33"/>
        <v>-7.2895609574158934E-6</v>
      </c>
      <c r="AF86" s="1">
        <f t="shared" si="45"/>
        <v>-2.9361793854130628E-4</v>
      </c>
      <c r="AG86" s="1">
        <f t="shared" si="34"/>
        <v>-5.1446784238990571E-6</v>
      </c>
      <c r="AH86" s="1">
        <f t="shared" si="46"/>
        <v>-5.0679692373120145E-4</v>
      </c>
      <c r="AI86" s="1">
        <f t="shared" si="35"/>
        <v>-8.8799315592617697E-6</v>
      </c>
      <c r="AJ86" s="1">
        <f t="shared" si="47"/>
        <v>-3.2101940329473953E-4</v>
      </c>
      <c r="AK86" s="1">
        <f t="shared" si="36"/>
        <v>-5.6247980146862073E-6</v>
      </c>
      <c r="AL86" s="1">
        <f t="shared" si="48"/>
        <v>-3.8879084904295299E-4</v>
      </c>
      <c r="AM86" s="1">
        <f t="shared" si="49"/>
        <v>-1.5802290193992421E-4</v>
      </c>
      <c r="AN86" s="1">
        <f t="shared" si="50"/>
        <v>-4.2571489921421995E-4</v>
      </c>
      <c r="AO86" s="1">
        <f t="shared" si="51"/>
        <v>-4.9463854817648146E-4</v>
      </c>
      <c r="AP86" s="1">
        <f t="shared" si="52"/>
        <v>-4.4294649169733806E-4</v>
      </c>
    </row>
    <row r="87" spans="2:42" x14ac:dyDescent="0.3">
      <c r="B87" s="1">
        <v>0.82682781062606925</v>
      </c>
      <c r="C87" s="1"/>
      <c r="D87" s="4"/>
      <c r="E87" s="1"/>
      <c r="G87" s="4"/>
      <c r="H87" s="4"/>
      <c r="I87" s="1">
        <f t="shared" si="37"/>
        <v>5.2050932685274098</v>
      </c>
      <c r="M87" s="1">
        <f t="shared" si="28"/>
        <v>0.65253917196262623</v>
      </c>
      <c r="N87" s="1">
        <f t="shared" si="29"/>
        <v>1.4530089550091245</v>
      </c>
      <c r="O87" s="1">
        <f t="shared" si="30"/>
        <v>0.99675293391904629</v>
      </c>
      <c r="P87" s="1">
        <f t="shared" si="31"/>
        <v>1.2199704608213653</v>
      </c>
      <c r="R87" s="21">
        <f t="shared" si="38"/>
        <v>0.65253917196262623</v>
      </c>
      <c r="S87" s="21">
        <f t="shared" si="39"/>
        <v>1.4530089550091245</v>
      </c>
      <c r="T87" s="21">
        <f t="shared" si="40"/>
        <v>0.99675293391904629</v>
      </c>
      <c r="U87" s="21">
        <f t="shared" si="41"/>
        <v>1.2199704608213653</v>
      </c>
      <c r="Y87" s="21">
        <f t="shared" si="42"/>
        <v>5.2016630651897504</v>
      </c>
      <c r="Z87" s="21">
        <f t="shared" si="43"/>
        <v>5.2016630651897504</v>
      </c>
      <c r="AB87" s="21">
        <f t="shared" si="32"/>
        <v>3.430203337659421E-3</v>
      </c>
      <c r="AD87" s="1">
        <f t="shared" si="44"/>
        <v>-3.5985652558757636E-5</v>
      </c>
      <c r="AE87" s="1">
        <f t="shared" si="33"/>
        <v>-2.9753938319107981E-5</v>
      </c>
      <c r="AF87" s="1">
        <f t="shared" si="45"/>
        <v>-2.5397223697076739E-5</v>
      </c>
      <c r="AG87" s="1">
        <f t="shared" si="34"/>
        <v>-2.0999130865434483E-5</v>
      </c>
      <c r="AH87" s="1">
        <f t="shared" si="46"/>
        <v>-4.3836677366975415E-5</v>
      </c>
      <c r="AI87" s="1">
        <f t="shared" si="35"/>
        <v>-3.6245383972457646E-5</v>
      </c>
      <c r="AJ87" s="1">
        <f t="shared" si="47"/>
        <v>-2.7767382459950165E-5</v>
      </c>
      <c r="AK87" s="1">
        <f t="shared" si="36"/>
        <v>-2.295884404617731E-5</v>
      </c>
      <c r="AL87" s="1">
        <f t="shared" si="48"/>
        <v>-3.362944448685707E-5</v>
      </c>
      <c r="AM87" s="1">
        <f t="shared" si="49"/>
        <v>-2.1944529859016819E-5</v>
      </c>
      <c r="AN87" s="1">
        <f t="shared" si="50"/>
        <v>-4.8863883991385554E-5</v>
      </c>
      <c r="AO87" s="1">
        <f t="shared" si="51"/>
        <v>-3.3520247458342477E-5</v>
      </c>
      <c r="AP87" s="1">
        <f t="shared" si="52"/>
        <v>-4.1026928887797541E-5</v>
      </c>
    </row>
    <row r="88" spans="2:42" x14ac:dyDescent="0.3">
      <c r="B88" s="1">
        <v>0.24909612969158068</v>
      </c>
      <c r="C88" s="1"/>
      <c r="D88" s="4"/>
      <c r="E88" s="1"/>
      <c r="G88" s="4"/>
      <c r="H88" s="4"/>
      <c r="I88" s="1">
        <f t="shared" si="37"/>
        <v>5.0186146645481973</v>
      </c>
      <c r="M88" s="1">
        <f t="shared" si="28"/>
        <v>0.47686374220568783</v>
      </c>
      <c r="N88" s="1">
        <f t="shared" si="29"/>
        <v>1.1974201588469102</v>
      </c>
      <c r="O88" s="1">
        <f t="shared" si="30"/>
        <v>1.1934182878169017</v>
      </c>
      <c r="P88" s="1">
        <f t="shared" si="31"/>
        <v>1.1623776391833824</v>
      </c>
      <c r="R88" s="21">
        <f t="shared" si="38"/>
        <v>0.47686374220568783</v>
      </c>
      <c r="S88" s="21">
        <f t="shared" si="39"/>
        <v>1.1974201588469102</v>
      </c>
      <c r="T88" s="21">
        <f t="shared" si="40"/>
        <v>1.1934182878169017</v>
      </c>
      <c r="U88" s="21">
        <f t="shared" si="41"/>
        <v>1.1623776391833824</v>
      </c>
      <c r="Y88" s="21">
        <f t="shared" si="42"/>
        <v>5.0294601895670983</v>
      </c>
      <c r="Z88" s="21">
        <f t="shared" si="43"/>
        <v>5.0294601895670983</v>
      </c>
      <c r="AB88" s="21">
        <f t="shared" si="32"/>
        <v>-1.0845525018901014E-2</v>
      </c>
      <c r="AD88" s="1">
        <f t="shared" si="44"/>
        <v>1.1377847221552548E-4</v>
      </c>
      <c r="AE88" s="1">
        <f t="shared" si="33"/>
        <v>2.8341777071108444E-5</v>
      </c>
      <c r="AF88" s="1">
        <f t="shared" si="45"/>
        <v>8.0300261501471383E-5</v>
      </c>
      <c r="AG88" s="1">
        <f t="shared" si="34"/>
        <v>2.000248435323836E-5</v>
      </c>
      <c r="AH88" s="1">
        <f t="shared" si="46"/>
        <v>1.3860163212756703E-4</v>
      </c>
      <c r="AI88" s="1">
        <f t="shared" si="35"/>
        <v>3.4525130131913192E-5</v>
      </c>
      <c r="AJ88" s="1">
        <f t="shared" si="47"/>
        <v>8.7794165982087768E-5</v>
      </c>
      <c r="AK88" s="1">
        <f t="shared" si="36"/>
        <v>2.1869186955638294E-5</v>
      </c>
      <c r="AL88" s="1">
        <f t="shared" si="48"/>
        <v>1.0632867665589229E-4</v>
      </c>
      <c r="AM88" s="1">
        <f t="shared" si="49"/>
        <v>5.0704290653907356E-5</v>
      </c>
      <c r="AN88" s="1">
        <f t="shared" si="50"/>
        <v>1.273201008912803E-4</v>
      </c>
      <c r="AO88" s="1">
        <f t="shared" si="51"/>
        <v>1.2689458724051195E-4</v>
      </c>
      <c r="AP88" s="1">
        <f t="shared" si="52"/>
        <v>1.2359407614876932E-4</v>
      </c>
    </row>
    <row r="89" spans="2:42" x14ac:dyDescent="0.3">
      <c r="B89" s="1">
        <v>0.78526085199195528</v>
      </c>
      <c r="C89" s="1"/>
      <c r="D89" s="4"/>
      <c r="E89" s="1"/>
      <c r="G89" s="4"/>
      <c r="H89" s="4"/>
      <c r="I89" s="1">
        <f t="shared" si="37"/>
        <v>5.1849903817013399</v>
      </c>
      <c r="M89" s="1">
        <f t="shared" si="28"/>
        <v>0.63989957894268779</v>
      </c>
      <c r="N89" s="1">
        <f t="shared" si="29"/>
        <v>1.4346197108876437</v>
      </c>
      <c r="O89" s="1">
        <f t="shared" si="30"/>
        <v>1.0109027216146296</v>
      </c>
      <c r="P89" s="1">
        <f t="shared" si="31"/>
        <v>1.2158267406245158</v>
      </c>
      <c r="R89" s="21">
        <f t="shared" si="38"/>
        <v>0.63989957894268779</v>
      </c>
      <c r="S89" s="21">
        <f t="shared" si="39"/>
        <v>1.4346197108876437</v>
      </c>
      <c r="T89" s="21">
        <f t="shared" si="40"/>
        <v>1.0109027216146296</v>
      </c>
      <c r="U89" s="21">
        <f t="shared" si="41"/>
        <v>1.2158267406245158</v>
      </c>
      <c r="Y89" s="21">
        <f t="shared" si="42"/>
        <v>5.1892733174160011</v>
      </c>
      <c r="Z89" s="21">
        <f t="shared" si="43"/>
        <v>5.1892733174160011</v>
      </c>
      <c r="AB89" s="21">
        <f t="shared" si="32"/>
        <v>-4.2829357146612068E-3</v>
      </c>
      <c r="AD89" s="1">
        <f t="shared" si="44"/>
        <v>4.493151611952494E-5</v>
      </c>
      <c r="AE89" s="1">
        <f t="shared" si="33"/>
        <v>3.5282960629308425E-5</v>
      </c>
      <c r="AF89" s="1">
        <f t="shared" si="45"/>
        <v>3.1710853765209049E-5</v>
      </c>
      <c r="AG89" s="1">
        <f t="shared" si="34"/>
        <v>2.490129204506036E-5</v>
      </c>
      <c r="AH89" s="1">
        <f t="shared" si="46"/>
        <v>5.4734268679013501E-5</v>
      </c>
      <c r="AI89" s="1">
        <f t="shared" si="35"/>
        <v>4.2980678456038737E-5</v>
      </c>
      <c r="AJ89" s="1">
        <f t="shared" si="47"/>
        <v>3.4670222821696077E-5</v>
      </c>
      <c r="AK89" s="1">
        <f t="shared" si="36"/>
        <v>2.7225168711715992E-5</v>
      </c>
      <c r="AL89" s="1">
        <f t="shared" si="48"/>
        <v>4.1989565830011833E-5</v>
      </c>
      <c r="AM89" s="1">
        <f t="shared" si="49"/>
        <v>2.6869105494610843E-5</v>
      </c>
      <c r="AN89" s="1">
        <f t="shared" si="50"/>
        <v>6.0239058791349261E-5</v>
      </c>
      <c r="AO89" s="1">
        <f t="shared" si="51"/>
        <v>4.2447366376975615E-5</v>
      </c>
      <c r="AP89" s="1">
        <f t="shared" si="52"/>
        <v>5.105203696334183E-5</v>
      </c>
    </row>
    <row r="90" spans="2:42" x14ac:dyDescent="0.3">
      <c r="B90" s="1">
        <v>0.85861962498450195</v>
      </c>
      <c r="C90" s="1"/>
      <c r="D90" s="4"/>
      <c r="E90" s="1"/>
      <c r="G90" s="4"/>
      <c r="H90" s="4"/>
      <c r="I90" s="1">
        <f t="shared" si="37"/>
        <v>5.2211682981225582</v>
      </c>
      <c r="M90" s="1">
        <f t="shared" si="28"/>
        <v>0.6622063597497605</v>
      </c>
      <c r="N90" s="1">
        <f t="shared" si="29"/>
        <v>1.4670736702183391</v>
      </c>
      <c r="O90" s="1">
        <f t="shared" si="30"/>
        <v>0.98593069822003998</v>
      </c>
      <c r="P90" s="1">
        <f t="shared" si="31"/>
        <v>1.2231397180290215</v>
      </c>
      <c r="R90" s="21">
        <f t="shared" si="38"/>
        <v>0.6622063597497605</v>
      </c>
      <c r="S90" s="21">
        <f t="shared" si="39"/>
        <v>1.4670736702183391</v>
      </c>
      <c r="T90" s="21">
        <f t="shared" si="40"/>
        <v>0.98593069822003998</v>
      </c>
      <c r="U90" s="21">
        <f t="shared" si="41"/>
        <v>1.2231397180290215</v>
      </c>
      <c r="Y90" s="21">
        <f t="shared" si="42"/>
        <v>5.2111391628912447</v>
      </c>
      <c r="Z90" s="21">
        <f t="shared" si="43"/>
        <v>5.2111391628912447</v>
      </c>
      <c r="AB90" s="21">
        <f t="shared" si="32"/>
        <v>1.0029135231313546E-2</v>
      </c>
      <c r="AD90" s="1">
        <f t="shared" si="44"/>
        <v>-1.052138722904707E-4</v>
      </c>
      <c r="AE90" s="1">
        <f t="shared" si="33"/>
        <v>-9.0338695569211239E-5</v>
      </c>
      <c r="AF90" s="1">
        <f t="shared" si="45"/>
        <v>-7.4255711946133476E-5</v>
      </c>
      <c r="AG90" s="1">
        <f t="shared" si="34"/>
        <v>-6.3757411544146329E-5</v>
      </c>
      <c r="AH90" s="1">
        <f t="shared" si="46"/>
        <v>-1.2816848510935412E-4</v>
      </c>
      <c r="AI90" s="1">
        <f t="shared" si="35"/>
        <v>-1.1004797661942536E-4</v>
      </c>
      <c r="AJ90" s="1">
        <f t="shared" si="47"/>
        <v>-8.1185517678513219E-5</v>
      </c>
      <c r="AK90" s="1">
        <f t="shared" si="36"/>
        <v>-6.9707478743297679E-5</v>
      </c>
      <c r="AL90" s="1">
        <f t="shared" si="48"/>
        <v>-9.8324855208956335E-5</v>
      </c>
      <c r="AM90" s="1">
        <f t="shared" si="49"/>
        <v>-6.5111344440845251E-5</v>
      </c>
      <c r="AN90" s="1">
        <f t="shared" si="50"/>
        <v>-1.4424980620509034E-4</v>
      </c>
      <c r="AO90" s="1">
        <f t="shared" si="51"/>
        <v>-9.6941493148550661E-5</v>
      </c>
      <c r="AP90" s="1">
        <f t="shared" si="52"/>
        <v>-1.2026503567552722E-4</v>
      </c>
    </row>
    <row r="91" spans="2:42" x14ac:dyDescent="0.3">
      <c r="B91" s="1">
        <v>0.43243909287159565</v>
      </c>
      <c r="C91" s="1"/>
      <c r="D91" s="4"/>
      <c r="E91" s="1"/>
      <c r="G91" s="4"/>
      <c r="H91" s="4"/>
      <c r="I91" s="1">
        <f t="shared" si="37"/>
        <v>5.0561010707130825</v>
      </c>
      <c r="M91" s="1">
        <f t="shared" si="28"/>
        <v>0.53261428335216165</v>
      </c>
      <c r="N91" s="1">
        <f t="shared" si="29"/>
        <v>1.2785311811266575</v>
      </c>
      <c r="O91" s="1">
        <f t="shared" si="30"/>
        <v>1.1310066009934336</v>
      </c>
      <c r="P91" s="1">
        <f t="shared" si="31"/>
        <v>1.1806547026117307</v>
      </c>
      <c r="R91" s="21">
        <f t="shared" si="38"/>
        <v>0.53261428335216165</v>
      </c>
      <c r="S91" s="21">
        <f t="shared" si="39"/>
        <v>1.2785311811266575</v>
      </c>
      <c r="T91" s="21">
        <f t="shared" si="40"/>
        <v>1.1310066009934336</v>
      </c>
      <c r="U91" s="21">
        <f t="shared" si="41"/>
        <v>1.1806547026117307</v>
      </c>
      <c r="Y91" s="21">
        <f t="shared" si="42"/>
        <v>5.0841087167756251</v>
      </c>
      <c r="Z91" s="21">
        <f t="shared" si="43"/>
        <v>5.0841087167756251</v>
      </c>
      <c r="AB91" s="21">
        <f t="shared" si="32"/>
        <v>-2.800764606254269E-2</v>
      </c>
      <c r="AD91" s="1">
        <f t="shared" si="44"/>
        <v>2.9382322882439787E-4</v>
      </c>
      <c r="AE91" s="1">
        <f t="shared" si="33"/>
        <v>1.270606505374259E-4</v>
      </c>
      <c r="AF91" s="1">
        <f t="shared" si="45"/>
        <v>2.0736859662795086E-4</v>
      </c>
      <c r="AG91" s="1">
        <f t="shared" si="34"/>
        <v>8.9674287815846902E-5</v>
      </c>
      <c r="AH91" s="1">
        <f t="shared" si="46"/>
        <v>3.5792692834643423E-4</v>
      </c>
      <c r="AI91" s="1">
        <f t="shared" si="35"/>
        <v>1.5478159620844863E-4</v>
      </c>
      <c r="AJ91" s="1">
        <f t="shared" si="47"/>
        <v>2.2672096767073827E-4</v>
      </c>
      <c r="AK91" s="1">
        <f t="shared" si="36"/>
        <v>9.8043009594504427E-5</v>
      </c>
      <c r="AL91" s="1">
        <f t="shared" si="48"/>
        <v>2.7458476531904596E-4</v>
      </c>
      <c r="AM91" s="1">
        <f t="shared" si="49"/>
        <v>1.4624776799982515E-4</v>
      </c>
      <c r="AN91" s="1">
        <f t="shared" si="50"/>
        <v>3.5106518432274588E-4</v>
      </c>
      <c r="AO91" s="1">
        <f t="shared" si="51"/>
        <v>3.1055718210807383E-4</v>
      </c>
      <c r="AP91" s="1">
        <f t="shared" si="52"/>
        <v>3.2418979443947006E-4</v>
      </c>
    </row>
    <row r="92" spans="2:42" x14ac:dyDescent="0.3">
      <c r="B92" s="1">
        <v>0.12047514873900622</v>
      </c>
      <c r="C92" s="1"/>
      <c r="D92" s="4"/>
      <c r="E92" s="1"/>
      <c r="G92" s="4"/>
      <c r="H92" s="4"/>
      <c r="I92" s="1">
        <f t="shared" si="37"/>
        <v>5.0043542784391057</v>
      </c>
      <c r="M92" s="1">
        <f t="shared" si="28"/>
        <v>0.43775294587882918</v>
      </c>
      <c r="N92" s="1">
        <f t="shared" si="29"/>
        <v>1.1405181699691369</v>
      </c>
      <c r="O92" s="1">
        <f t="shared" si="30"/>
        <v>1.2372020919122768</v>
      </c>
      <c r="P92" s="1">
        <f t="shared" si="31"/>
        <v>1.1495556917995693</v>
      </c>
      <c r="R92" s="21">
        <f t="shared" si="38"/>
        <v>0.43775294587882918</v>
      </c>
      <c r="S92" s="21">
        <f t="shared" si="39"/>
        <v>1.1405181699691369</v>
      </c>
      <c r="T92" s="21">
        <f t="shared" si="40"/>
        <v>1.2372020919122768</v>
      </c>
      <c r="U92" s="21">
        <f t="shared" si="41"/>
        <v>1.1495556917995693</v>
      </c>
      <c r="Y92" s="21">
        <f t="shared" si="42"/>
        <v>4.9911224914342665</v>
      </c>
      <c r="Z92" s="21">
        <f t="shared" si="43"/>
        <v>4.9911224914342665</v>
      </c>
      <c r="AB92" s="21">
        <f t="shared" si="32"/>
        <v>1.323178700483929E-2</v>
      </c>
      <c r="AD92" s="1">
        <f t="shared" si="44"/>
        <v>-1.388123218994161E-4</v>
      </c>
      <c r="AE92" s="1">
        <f t="shared" si="33"/>
        <v>-1.6723435127638963E-5</v>
      </c>
      <c r="AF92" s="1">
        <f t="shared" si="45"/>
        <v>-9.7968143982764209E-5</v>
      </c>
      <c r="AG92" s="1">
        <f t="shared" si="34"/>
        <v>-1.1802726718007895E-5</v>
      </c>
      <c r="AH92" s="1">
        <f t="shared" si="46"/>
        <v>-1.6909714113783799E-4</v>
      </c>
      <c r="AI92" s="1">
        <f t="shared" si="35"/>
        <v>-2.037200322992176E-5</v>
      </c>
      <c r="AJ92" s="1">
        <f t="shared" si="47"/>
        <v>-1.0711087775999674E-4</v>
      </c>
      <c r="AK92" s="1">
        <f t="shared" si="36"/>
        <v>-1.290419892970112E-5</v>
      </c>
      <c r="AL92" s="1">
        <f t="shared" si="48"/>
        <v>-1.2972340200822835E-4</v>
      </c>
      <c r="AM92" s="1">
        <f t="shared" si="49"/>
        <v>-5.6786801378525586E-5</v>
      </c>
      <c r="AN92" s="1">
        <f t="shared" si="50"/>
        <v>-1.4795189706059525E-4</v>
      </c>
      <c r="AO92" s="1">
        <f t="shared" si="51"/>
        <v>-1.6049406433455736E-4</v>
      </c>
      <c r="AP92" s="1">
        <f t="shared" si="52"/>
        <v>-1.4912427513816257E-4</v>
      </c>
    </row>
    <row r="93" spans="2:42" x14ac:dyDescent="0.3">
      <c r="B93" s="1">
        <v>0.91872264771167877</v>
      </c>
      <c r="C93" s="1"/>
      <c r="D93" s="4"/>
      <c r="E93" s="1"/>
      <c r="G93" s="4"/>
      <c r="H93" s="4"/>
      <c r="I93" s="1">
        <f t="shared" si="37"/>
        <v>5.2532153910255071</v>
      </c>
      <c r="M93" s="1">
        <f t="shared" si="28"/>
        <v>0.68048236000338891</v>
      </c>
      <c r="N93" s="1">
        <f t="shared" si="29"/>
        <v>1.4936632787364346</v>
      </c>
      <c r="O93" s="1">
        <f t="shared" si="30"/>
        <v>0.96547105817424617</v>
      </c>
      <c r="P93" s="1">
        <f t="shared" si="31"/>
        <v>1.2291312583617775</v>
      </c>
      <c r="R93" s="21">
        <f t="shared" si="38"/>
        <v>0.68048236000338891</v>
      </c>
      <c r="S93" s="21">
        <f t="shared" si="39"/>
        <v>1.4936632787364346</v>
      </c>
      <c r="T93" s="21">
        <f t="shared" si="40"/>
        <v>0.96547105817424617</v>
      </c>
      <c r="U93" s="21">
        <f t="shared" si="41"/>
        <v>1.2291312583617775</v>
      </c>
      <c r="Y93" s="21">
        <f t="shared" si="42"/>
        <v>5.2290539037454984</v>
      </c>
      <c r="Z93" s="21">
        <f t="shared" si="43"/>
        <v>5.2290539037454984</v>
      </c>
      <c r="AB93" s="21">
        <f t="shared" si="32"/>
        <v>2.4161487280008664E-2</v>
      </c>
      <c r="AD93" s="1">
        <f t="shared" si="44"/>
        <v>-2.5347386174328355E-4</v>
      </c>
      <c r="AE93" s="1">
        <f t="shared" si="33"/>
        <v>-2.3287217738649345E-4</v>
      </c>
      <c r="AF93" s="1">
        <f t="shared" si="45"/>
        <v>-1.7889163903710858E-4</v>
      </c>
      <c r="AG93" s="1">
        <f t="shared" si="34"/>
        <v>-1.6435180026965431E-4</v>
      </c>
      <c r="AH93" s="1">
        <f t="shared" si="46"/>
        <v>-3.0877450061684431E-4</v>
      </c>
      <c r="AI93" s="1">
        <f t="shared" si="35"/>
        <v>-2.8367812675255858E-4</v>
      </c>
      <c r="AJ93" s="1">
        <f t="shared" si="47"/>
        <v>-1.9558643965491768E-4</v>
      </c>
      <c r="AK93" s="1">
        <f t="shared" si="36"/>
        <v>-1.7968969169626645E-4</v>
      </c>
      <c r="AL93" s="1">
        <f t="shared" si="48"/>
        <v>-2.3687732627459475E-4</v>
      </c>
      <c r="AM93" s="1">
        <f t="shared" si="49"/>
        <v>-1.6119084201462899E-4</v>
      </c>
      <c r="AN93" s="1">
        <f t="shared" si="50"/>
        <v>-3.5381496382163138E-4</v>
      </c>
      <c r="AO93" s="1">
        <f t="shared" si="51"/>
        <v>-2.2869820285581916E-4</v>
      </c>
      <c r="AP93" s="1">
        <f t="shared" si="52"/>
        <v>-2.91153326121266E-4</v>
      </c>
    </row>
    <row r="94" spans="2:42" x14ac:dyDescent="0.3">
      <c r="B94" s="1">
        <v>0.59298822713170241</v>
      </c>
      <c r="C94" s="1"/>
      <c r="D94" s="4"/>
      <c r="E94" s="1"/>
      <c r="G94" s="4"/>
      <c r="H94" s="4"/>
      <c r="I94" s="1">
        <f t="shared" si="37"/>
        <v>5.1054905112550397</v>
      </c>
      <c r="M94" s="1">
        <f t="shared" si="28"/>
        <v>0.58143372512594049</v>
      </c>
      <c r="N94" s="1">
        <f t="shared" si="29"/>
        <v>1.3495582016356462</v>
      </c>
      <c r="O94" s="1">
        <f t="shared" si="30"/>
        <v>1.0763541501252623</v>
      </c>
      <c r="P94" s="1">
        <f t="shared" si="31"/>
        <v>1.1966594985381347</v>
      </c>
      <c r="R94" s="21">
        <f t="shared" si="38"/>
        <v>0.58143372512594049</v>
      </c>
      <c r="S94" s="21">
        <f t="shared" si="39"/>
        <v>1.3495582016356462</v>
      </c>
      <c r="T94" s="21">
        <f t="shared" si="40"/>
        <v>1.0763541501252623</v>
      </c>
      <c r="U94" s="21">
        <f t="shared" si="41"/>
        <v>1.1966594985381347</v>
      </c>
      <c r="Y94" s="21">
        <f t="shared" si="42"/>
        <v>5.131963150781389</v>
      </c>
      <c r="Z94" s="21">
        <f t="shared" si="43"/>
        <v>5.131963150781389</v>
      </c>
      <c r="AB94" s="21">
        <f t="shared" si="32"/>
        <v>-2.6472639526349262E-2</v>
      </c>
      <c r="AD94" s="1">
        <f t="shared" si="44"/>
        <v>2.7771974852034976E-4</v>
      </c>
      <c r="AE94" s="1">
        <f t="shared" si="33"/>
        <v>1.6468454131454444E-4</v>
      </c>
      <c r="AF94" s="1">
        <f t="shared" si="45"/>
        <v>1.9600340904616143E-4</v>
      </c>
      <c r="AG94" s="1">
        <f t="shared" si="34"/>
        <v>1.1622771404205314E-4</v>
      </c>
      <c r="AH94" s="1">
        <f t="shared" si="46"/>
        <v>3.3831013608675892E-4</v>
      </c>
      <c r="AI94" s="1">
        <f t="shared" si="35"/>
        <v>2.0061392781877215E-4</v>
      </c>
      <c r="AJ94" s="1">
        <f t="shared" si="47"/>
        <v>2.1429514057732464E-4</v>
      </c>
      <c r="AK94" s="1">
        <f t="shared" si="36"/>
        <v>1.2707449549388667E-4</v>
      </c>
      <c r="AL94" s="1">
        <f t="shared" si="48"/>
        <v>2.5953568163087509E-4</v>
      </c>
      <c r="AM94" s="1">
        <f t="shared" si="49"/>
        <v>1.5090279817373984E-4</v>
      </c>
      <c r="AN94" s="1">
        <f t="shared" si="50"/>
        <v>3.502585077620454E-4</v>
      </c>
      <c r="AO94" s="1">
        <f t="shared" si="51"/>
        <v>2.7935230802898119E-4</v>
      </c>
      <c r="AP94" s="1">
        <f t="shared" si="52"/>
        <v>3.1057583863315598E-4</v>
      </c>
    </row>
    <row r="95" spans="2:42" x14ac:dyDescent="0.3">
      <c r="B95" s="1">
        <v>0.61090709446265612</v>
      </c>
      <c r="C95" s="1"/>
      <c r="D95" s="4"/>
      <c r="E95" s="1"/>
      <c r="G95" s="4"/>
      <c r="H95" s="4"/>
      <c r="I95" s="1">
        <f t="shared" si="37"/>
        <v>5.1119622434194412</v>
      </c>
      <c r="M95" s="1">
        <f t="shared" si="28"/>
        <v>0.58688245647131354</v>
      </c>
      <c r="N95" s="1">
        <f t="shared" si="29"/>
        <v>1.3574855178636587</v>
      </c>
      <c r="O95" s="1">
        <f t="shared" si="30"/>
        <v>1.0702543974175855</v>
      </c>
      <c r="P95" s="1">
        <f t="shared" si="31"/>
        <v>1.1984457916638243</v>
      </c>
      <c r="R95" s="21">
        <f t="shared" si="38"/>
        <v>0.58688245647131354</v>
      </c>
      <c r="S95" s="21">
        <f t="shared" si="39"/>
        <v>1.3574855178636587</v>
      </c>
      <c r="T95" s="21">
        <f t="shared" si="40"/>
        <v>1.0702543974175855</v>
      </c>
      <c r="U95" s="21">
        <f t="shared" si="41"/>
        <v>1.1984457916638243</v>
      </c>
      <c r="Y95" s="21">
        <f t="shared" si="42"/>
        <v>5.1373041777392663</v>
      </c>
      <c r="Z95" s="21">
        <f t="shared" si="43"/>
        <v>5.1373041777392663</v>
      </c>
      <c r="AB95" s="21">
        <f t="shared" si="32"/>
        <v>-2.5341934319825121E-2</v>
      </c>
      <c r="AD95" s="1">
        <f t="shared" si="44"/>
        <v>2.6585772149074517E-4</v>
      </c>
      <c r="AE95" s="1">
        <f t="shared" si="33"/>
        <v>1.6241436817637317E-4</v>
      </c>
      <c r="AF95" s="1">
        <f t="shared" si="45"/>
        <v>1.8763166829532374E-4</v>
      </c>
      <c r="AG95" s="1">
        <f t="shared" si="34"/>
        <v>1.146255173074771E-4</v>
      </c>
      <c r="AH95" s="1">
        <f t="shared" si="46"/>
        <v>3.2386015908645108E-4</v>
      </c>
      <c r="AI95" s="1">
        <f t="shared" si="35"/>
        <v>1.978484687997174E-4</v>
      </c>
      <c r="AJ95" s="1">
        <f t="shared" si="47"/>
        <v>2.051421193630091E-4</v>
      </c>
      <c r="AK95" s="1">
        <f t="shared" si="36"/>
        <v>1.2532277609196728E-4</v>
      </c>
      <c r="AL95" s="1">
        <f t="shared" si="48"/>
        <v>2.4845033646887375E-4</v>
      </c>
      <c r="AM95" s="1">
        <f t="shared" si="49"/>
        <v>1.45811143777977E-4</v>
      </c>
      <c r="AN95" s="1">
        <f t="shared" si="50"/>
        <v>3.3726773366484934E-4</v>
      </c>
      <c r="AO95" s="1">
        <f t="shared" si="51"/>
        <v>2.6590506514569085E-4</v>
      </c>
      <c r="AP95" s="1">
        <f t="shared" si="52"/>
        <v>2.977542601785829E-4</v>
      </c>
    </row>
    <row r="96" spans="2:42" x14ac:dyDescent="0.3">
      <c r="B96" s="1">
        <v>0.22492991320869515</v>
      </c>
      <c r="C96" s="1"/>
      <c r="D96" s="4"/>
      <c r="E96" s="1"/>
      <c r="G96" s="4"/>
      <c r="H96" s="4"/>
      <c r="I96" s="1">
        <f t="shared" si="37"/>
        <v>5.0151780397568215</v>
      </c>
      <c r="M96" s="1">
        <f t="shared" si="28"/>
        <v>0.46951533012040442</v>
      </c>
      <c r="N96" s="1">
        <f t="shared" si="29"/>
        <v>1.1867290121044201</v>
      </c>
      <c r="O96" s="1">
        <f t="shared" si="30"/>
        <v>1.2016446975393034</v>
      </c>
      <c r="P96" s="1">
        <f t="shared" si="31"/>
        <v>1.1599685613337614</v>
      </c>
      <c r="R96" s="21">
        <f t="shared" si="38"/>
        <v>0.46951533012040442</v>
      </c>
      <c r="S96" s="21">
        <f t="shared" si="39"/>
        <v>1.1867290121044201</v>
      </c>
      <c r="T96" s="21">
        <f t="shared" si="40"/>
        <v>1.2016446975393034</v>
      </c>
      <c r="U96" s="21">
        <f t="shared" si="41"/>
        <v>1.1599685613337614</v>
      </c>
      <c r="Y96" s="21">
        <f t="shared" si="42"/>
        <v>5.0222570326196712</v>
      </c>
      <c r="Z96" s="21">
        <f t="shared" si="43"/>
        <v>5.0222570326196712</v>
      </c>
      <c r="AB96" s="21">
        <f t="shared" si="32"/>
        <v>-7.0789928628496313E-3</v>
      </c>
      <c r="AD96" s="1">
        <f t="shared" si="44"/>
        <v>7.4264453897433872E-5</v>
      </c>
      <c r="AE96" s="1">
        <f t="shared" si="33"/>
        <v>1.6704297169640944E-5</v>
      </c>
      <c r="AF96" s="1">
        <f t="shared" si="45"/>
        <v>5.241285941097538E-5</v>
      </c>
      <c r="AG96" s="1">
        <f t="shared" si="34"/>
        <v>1.1789219918330234E-5</v>
      </c>
      <c r="AH96" s="1">
        <f t="shared" si="46"/>
        <v>9.0466802012852571E-5</v>
      </c>
      <c r="AI96" s="1">
        <f t="shared" si="35"/>
        <v>2.0348689925019136E-5</v>
      </c>
      <c r="AJ96" s="1">
        <f t="shared" si="47"/>
        <v>5.7304212871569376E-5</v>
      </c>
      <c r="AK96" s="1">
        <f t="shared" si="36"/>
        <v>1.2889431627694691E-5</v>
      </c>
      <c r="AL96" s="1">
        <f t="shared" si="48"/>
        <v>6.9401890812251284E-5</v>
      </c>
      <c r="AM96" s="1">
        <f t="shared" si="49"/>
        <v>3.2585251675694425E-5</v>
      </c>
      <c r="AN96" s="1">
        <f t="shared" si="50"/>
        <v>8.2361237321801797E-5</v>
      </c>
      <c r="AO96" s="1">
        <f t="shared" si="51"/>
        <v>8.3396414093743452E-5</v>
      </c>
      <c r="AP96" s="1">
        <f t="shared" si="52"/>
        <v>8.0504011439329912E-5</v>
      </c>
    </row>
    <row r="97" spans="2:42" x14ac:dyDescent="0.3">
      <c r="B97" s="1">
        <v>0.71065756890428622</v>
      </c>
      <c r="C97" s="1"/>
      <c r="D97" s="4"/>
      <c r="E97" s="1"/>
      <c r="G97" s="4"/>
      <c r="H97" s="4"/>
      <c r="I97" s="1">
        <f t="shared" si="37"/>
        <v>5.151510254072285</v>
      </c>
      <c r="M97" s="1">
        <f t="shared" si="28"/>
        <v>0.61721437013346048</v>
      </c>
      <c r="N97" s="1">
        <f t="shared" si="29"/>
        <v>1.4016151796435135</v>
      </c>
      <c r="O97" s="1">
        <f t="shared" si="30"/>
        <v>1.036298388071152</v>
      </c>
      <c r="P97" s="1">
        <f t="shared" si="31"/>
        <v>1.2083897007005044</v>
      </c>
      <c r="R97" s="21">
        <f t="shared" si="38"/>
        <v>0.61721437013346048</v>
      </c>
      <c r="S97" s="21">
        <f t="shared" si="39"/>
        <v>1.4016151796435135</v>
      </c>
      <c r="T97" s="21">
        <f t="shared" si="40"/>
        <v>1.036298388071152</v>
      </c>
      <c r="U97" s="21">
        <f t="shared" si="41"/>
        <v>1.2083897007005044</v>
      </c>
      <c r="Y97" s="21">
        <f t="shared" si="42"/>
        <v>5.1670365242773464</v>
      </c>
      <c r="Z97" s="21">
        <f t="shared" si="43"/>
        <v>5.1670365242773464</v>
      </c>
      <c r="AB97" s="21">
        <f t="shared" si="32"/>
        <v>-1.5526270205061365E-2</v>
      </c>
      <c r="AD97" s="1">
        <f t="shared" si="44"/>
        <v>1.6288333668113399E-4</v>
      </c>
      <c r="AE97" s="1">
        <f t="shared" si="33"/>
        <v>1.1575427606083302E-4</v>
      </c>
      <c r="AF97" s="1">
        <f t="shared" si="45"/>
        <v>1.1495649638317529E-4</v>
      </c>
      <c r="AG97" s="1">
        <f t="shared" si="34"/>
        <v>8.1694704249421726E-5</v>
      </c>
      <c r="AH97" s="1">
        <f t="shared" si="46"/>
        <v>1.9841975261914807E-4</v>
      </c>
      <c r="AI97" s="1">
        <f t="shared" si="35"/>
        <v>1.4100849901891365E-4</v>
      </c>
      <c r="AJ97" s="1">
        <f t="shared" si="47"/>
        <v>1.2568464330591045E-4</v>
      </c>
      <c r="AK97" s="1">
        <f t="shared" si="36"/>
        <v>8.9318743060380696E-5</v>
      </c>
      <c r="AL97" s="1">
        <f t="shared" si="48"/>
        <v>1.5221833534373889E-4</v>
      </c>
      <c r="AM97" s="1">
        <f t="shared" si="49"/>
        <v>9.395134397194966E-5</v>
      </c>
      <c r="AN97" s="1">
        <f t="shared" si="50"/>
        <v>2.1335152943785114E-4</v>
      </c>
      <c r="AO97" s="1">
        <f t="shared" si="51"/>
        <v>1.5774361555159067E-4</v>
      </c>
      <c r="AP97" s="1">
        <f t="shared" si="52"/>
        <v>1.8393906868714965E-4</v>
      </c>
    </row>
    <row r="98" spans="2:42" x14ac:dyDescent="0.3">
      <c r="B98" s="1">
        <v>0.86387675979128076</v>
      </c>
      <c r="C98" s="1"/>
      <c r="D98" s="4"/>
      <c r="E98" s="1"/>
      <c r="G98" s="4"/>
      <c r="H98" s="4"/>
      <c r="I98" s="1">
        <f t="shared" si="37"/>
        <v>5.2238849168322448</v>
      </c>
      <c r="M98" s="1">
        <f t="shared" si="28"/>
        <v>0.66380493820226494</v>
      </c>
      <c r="N98" s="1">
        <f t="shared" si="29"/>
        <v>1.4693994293914447</v>
      </c>
      <c r="O98" s="1">
        <f t="shared" si="30"/>
        <v>0.98414111957759554</v>
      </c>
      <c r="P98" s="1">
        <f t="shared" si="31"/>
        <v>1.22366379042672</v>
      </c>
      <c r="R98" s="21">
        <f t="shared" si="38"/>
        <v>0.66380493820226494</v>
      </c>
      <c r="S98" s="21">
        <f t="shared" si="39"/>
        <v>1.4693994293914447</v>
      </c>
      <c r="T98" s="21">
        <f t="shared" si="40"/>
        <v>0.98414111957759554</v>
      </c>
      <c r="U98" s="21">
        <f t="shared" si="41"/>
        <v>1.22366379042672</v>
      </c>
      <c r="Y98" s="21">
        <f t="shared" si="42"/>
        <v>5.2127061424444499</v>
      </c>
      <c r="Z98" s="21">
        <f t="shared" si="43"/>
        <v>5.2127061424444499</v>
      </c>
      <c r="AB98" s="21">
        <f t="shared" si="32"/>
        <v>1.117877438779491E-2</v>
      </c>
      <c r="AD98" s="1">
        <f t="shared" si="44"/>
        <v>-1.1727453201838947E-4</v>
      </c>
      <c r="AE98" s="1">
        <f t="shared" si="33"/>
        <v>-1.0131074272608511E-4</v>
      </c>
      <c r="AF98" s="1">
        <f t="shared" si="45"/>
        <v>-8.276763965243634E-5</v>
      </c>
      <c r="AG98" s="1">
        <f t="shared" si="34"/>
        <v>-7.1501040358519036E-5</v>
      </c>
      <c r="AH98" s="1">
        <f t="shared" si="46"/>
        <v>-1.428604306969014E-4</v>
      </c>
      <c r="AI98" s="1">
        <f t="shared" si="35"/>
        <v>-1.23413805972826E-4</v>
      </c>
      <c r="AJ98" s="1">
        <f t="shared" si="47"/>
        <v>-9.0491808590915698E-5</v>
      </c>
      <c r="AK98" s="1">
        <f t="shared" si="36"/>
        <v>-7.8173770393173041E-5</v>
      </c>
      <c r="AL98" s="1">
        <f t="shared" si="48"/>
        <v>-1.0959582733132264E-4</v>
      </c>
      <c r="AM98" s="1">
        <f t="shared" si="49"/>
        <v>-7.275025138889472E-5</v>
      </c>
      <c r="AN98" s="1">
        <f t="shared" si="50"/>
        <v>-1.610400461443288E-4</v>
      </c>
      <c r="AO98" s="1">
        <f t="shared" si="51"/>
        <v>-1.078577602108807E-4</v>
      </c>
      <c r="AP98" s="1">
        <f t="shared" si="52"/>
        <v>-1.3410844548719859E-4</v>
      </c>
    </row>
    <row r="99" spans="2:42" x14ac:dyDescent="0.3">
      <c r="B99" s="1">
        <v>0.95516386806500009</v>
      </c>
      <c r="C99" s="1"/>
      <c r="D99" s="4"/>
      <c r="E99" s="1"/>
      <c r="G99" s="4"/>
      <c r="H99" s="4"/>
      <c r="I99" s="1">
        <f t="shared" si="37"/>
        <v>5.2737014044570678</v>
      </c>
      <c r="M99" s="1">
        <f t="shared" si="28"/>
        <v>0.69156332934902343</v>
      </c>
      <c r="N99" s="1">
        <f t="shared" si="29"/>
        <v>1.5097848935762541</v>
      </c>
      <c r="O99" s="1">
        <f t="shared" si="30"/>
        <v>0.95306612049510875</v>
      </c>
      <c r="P99" s="1">
        <f t="shared" si="31"/>
        <v>1.2327640047963933</v>
      </c>
      <c r="R99" s="21">
        <f t="shared" si="38"/>
        <v>0.69156332934902343</v>
      </c>
      <c r="S99" s="21">
        <f t="shared" si="39"/>
        <v>1.5097848935762541</v>
      </c>
      <c r="T99" s="21">
        <f t="shared" si="40"/>
        <v>0.95306612049510875</v>
      </c>
      <c r="U99" s="21">
        <f t="shared" si="41"/>
        <v>1.2327640047963933</v>
      </c>
      <c r="Y99" s="21">
        <f t="shared" si="42"/>
        <v>5.2399158369631653</v>
      </c>
      <c r="Z99" s="21">
        <f t="shared" si="43"/>
        <v>5.2399158369631653</v>
      </c>
      <c r="AB99" s="21">
        <f t="shared" si="32"/>
        <v>3.3785567493902491E-2</v>
      </c>
      <c r="AD99" s="1">
        <f t="shared" si="44"/>
        <v>-3.54438373955295E-4</v>
      </c>
      <c r="AE99" s="1">
        <f t="shared" si="33"/>
        <v>-3.3854672825780856E-4</v>
      </c>
      <c r="AF99" s="1">
        <f t="shared" si="45"/>
        <v>-2.50148323848585E-4</v>
      </c>
      <c r="AG99" s="1">
        <f t="shared" si="34"/>
        <v>-2.3893264059719077E-4</v>
      </c>
      <c r="AH99" s="1">
        <f t="shared" si="46"/>
        <v>-4.3176653862769527E-4</v>
      </c>
      <c r="AI99" s="1">
        <f t="shared" si="35"/>
        <v>-4.124077971366657E-4</v>
      </c>
      <c r="AJ99" s="1">
        <f t="shared" si="47"/>
        <v>-2.7349305037694429E-4</v>
      </c>
      <c r="AK99" s="1">
        <f t="shared" si="36"/>
        <v>-2.6123067988693803E-4</v>
      </c>
      <c r="AL99" s="1">
        <f t="shared" si="48"/>
        <v>-3.3123105386178913E-4</v>
      </c>
      <c r="AM99" s="1">
        <f t="shared" si="49"/>
        <v>-2.2906725039244461E-4</v>
      </c>
      <c r="AN99" s="1">
        <f t="shared" si="50"/>
        <v>-5.0008764140387183E-4</v>
      </c>
      <c r="AO99" s="1">
        <f t="shared" si="51"/>
        <v>-3.1568509549156177E-4</v>
      </c>
      <c r="AP99" s="1">
        <f t="shared" si="52"/>
        <v>-4.0832972047158899E-4</v>
      </c>
    </row>
    <row r="100" spans="2:42" x14ac:dyDescent="0.3">
      <c r="B100" s="1">
        <v>0.64348509378456986</v>
      </c>
      <c r="C100" s="1"/>
      <c r="D100" s="4"/>
      <c r="E100" s="1"/>
      <c r="G100" s="4"/>
      <c r="H100" s="4"/>
      <c r="I100" s="1">
        <f t="shared" si="37"/>
        <v>5.1242219197768808</v>
      </c>
      <c r="M100" s="1">
        <f t="shared" si="28"/>
        <v>0.59678870572224818</v>
      </c>
      <c r="N100" s="1">
        <f t="shared" si="29"/>
        <v>1.3718980417096645</v>
      </c>
      <c r="O100" s="1">
        <f t="shared" si="30"/>
        <v>1.059164536886543</v>
      </c>
      <c r="P100" s="1">
        <f t="shared" si="31"/>
        <v>1.2016934219499709</v>
      </c>
      <c r="R100" s="21">
        <f t="shared" si="38"/>
        <v>0.59678870572224818</v>
      </c>
      <c r="S100" s="21">
        <f t="shared" si="39"/>
        <v>1.3718980417096645</v>
      </c>
      <c r="T100" s="21">
        <f t="shared" si="40"/>
        <v>1.059164536886543</v>
      </c>
      <c r="U100" s="21">
        <f t="shared" si="41"/>
        <v>1.2016934219499709</v>
      </c>
      <c r="Y100" s="21">
        <f t="shared" si="42"/>
        <v>5.1470146114066599</v>
      </c>
      <c r="Z100" s="21">
        <f t="shared" si="43"/>
        <v>5.1470146114066599</v>
      </c>
      <c r="AB100" s="21">
        <f t="shared" si="32"/>
        <v>-2.2792691629779149E-2</v>
      </c>
      <c r="AD100" s="1">
        <f t="shared" si="44"/>
        <v>2.391140702544477E-4</v>
      </c>
      <c r="AE100" s="1">
        <f t="shared" si="33"/>
        <v>1.538663399228935E-4</v>
      </c>
      <c r="AF100" s="1">
        <f t="shared" si="45"/>
        <v>1.6875707676705223E-4</v>
      </c>
      <c r="AG100" s="1">
        <f t="shared" si="34"/>
        <v>1.0859266337025645E-4</v>
      </c>
      <c r="AH100" s="1">
        <f t="shared" si="46"/>
        <v>2.9128181945661504E-4</v>
      </c>
      <c r="AI100" s="1">
        <f t="shared" si="35"/>
        <v>1.8743550891078006E-4</v>
      </c>
      <c r="AJ100" s="1">
        <f t="shared" si="47"/>
        <v>1.8450608418089684E-4</v>
      </c>
      <c r="AK100" s="1">
        <f t="shared" si="36"/>
        <v>1.1872691488296815E-4</v>
      </c>
      <c r="AL100" s="1">
        <f t="shared" si="48"/>
        <v>2.2345776107626618E-4</v>
      </c>
      <c r="AM100" s="1">
        <f t="shared" si="49"/>
        <v>1.3335706801629625E-4</v>
      </c>
      <c r="AN100" s="1">
        <f t="shared" si="50"/>
        <v>3.0656126482535566E-4</v>
      </c>
      <c r="AO100" s="1">
        <f t="shared" si="51"/>
        <v>2.3667853602404724E-4</v>
      </c>
      <c r="AP100" s="1">
        <f t="shared" si="52"/>
        <v>2.6852772156901733E-4</v>
      </c>
    </row>
    <row r="101" spans="2:42" x14ac:dyDescent="0.3">
      <c r="B101" s="1">
        <v>0.20832429523590523</v>
      </c>
      <c r="C101" s="1"/>
      <c r="D101" s="4"/>
      <c r="E101" s="1"/>
      <c r="G101" s="4"/>
      <c r="H101" s="4"/>
      <c r="I101" s="1">
        <f t="shared" si="37"/>
        <v>5.0130197035956607</v>
      </c>
      <c r="M101" s="1">
        <f t="shared" si="28"/>
        <v>0.46446592886716032</v>
      </c>
      <c r="N101" s="1">
        <f t="shared" si="29"/>
        <v>1.1793826780755678</v>
      </c>
      <c r="O101" s="1">
        <f t="shared" si="30"/>
        <v>1.2072974076867353</v>
      </c>
      <c r="P101" s="1">
        <f t="shared" si="31"/>
        <v>1.1583131831960272</v>
      </c>
      <c r="R101" s="21">
        <f t="shared" si="38"/>
        <v>0.46446592886716032</v>
      </c>
      <c r="S101" s="21">
        <f t="shared" si="39"/>
        <v>1.1793826780755678</v>
      </c>
      <c r="T101" s="21">
        <f t="shared" si="40"/>
        <v>1.2072974076867353</v>
      </c>
      <c r="U101" s="21">
        <f t="shared" si="41"/>
        <v>1.1583131831960272</v>
      </c>
      <c r="Y101" s="21">
        <f t="shared" si="42"/>
        <v>5.0173074422461941</v>
      </c>
      <c r="Z101" s="21">
        <f t="shared" si="43"/>
        <v>5.0173074422461941</v>
      </c>
      <c r="AB101" s="21">
        <f t="shared" si="32"/>
        <v>-4.2877386505333348E-3</v>
      </c>
      <c r="AD101" s="1">
        <f t="shared" si="44"/>
        <v>4.4981902864724222E-5</v>
      </c>
      <c r="AE101" s="1">
        <f t="shared" si="33"/>
        <v>9.3708232126636199E-6</v>
      </c>
      <c r="AF101" s="1">
        <f t="shared" si="45"/>
        <v>3.1746414699865001E-5</v>
      </c>
      <c r="AG101" s="1">
        <f t="shared" si="34"/>
        <v>6.6135494686161586E-6</v>
      </c>
      <c r="AH101" s="1">
        <f t="shared" si="46"/>
        <v>5.4795648349404817E-5</v>
      </c>
      <c r="AI101" s="1">
        <f t="shared" si="35"/>
        <v>1.1415264824384252E-5</v>
      </c>
      <c r="AJ101" s="1">
        <f t="shared" si="47"/>
        <v>3.4709102428577626E-5</v>
      </c>
      <c r="AK101" s="1">
        <f t="shared" si="36"/>
        <v>7.2307493017042809E-6</v>
      </c>
      <c r="AL101" s="1">
        <f t="shared" si="48"/>
        <v>4.2036653436601318E-5</v>
      </c>
      <c r="AM101" s="1">
        <f t="shared" si="49"/>
        <v>1.952459328489794E-5</v>
      </c>
      <c r="AN101" s="1">
        <f t="shared" si="50"/>
        <v>4.9577300907393386E-5</v>
      </c>
      <c r="AO101" s="1">
        <f t="shared" si="51"/>
        <v>5.0750742721834468E-5</v>
      </c>
      <c r="AP101" s="1">
        <f t="shared" si="52"/>
        <v>4.869160985305789E-5</v>
      </c>
    </row>
    <row r="102" spans="2:42" x14ac:dyDescent="0.3">
      <c r="B102" s="1">
        <v>0.99665616402392632</v>
      </c>
      <c r="C102" s="1"/>
      <c r="D102" s="4"/>
      <c r="E102" s="1"/>
      <c r="G102" s="4"/>
      <c r="H102" s="4"/>
      <c r="I102" s="1">
        <f t="shared" si="37"/>
        <v>5.2979970527860658</v>
      </c>
      <c r="M102" s="1">
        <f t="shared" si="28"/>
        <v>0.70418021910032824</v>
      </c>
      <c r="N102" s="1">
        <f t="shared" si="29"/>
        <v>1.5281411068913948</v>
      </c>
      <c r="O102" s="1">
        <f t="shared" si="30"/>
        <v>0.93894174868361702</v>
      </c>
      <c r="P102" s="1">
        <f t="shared" si="31"/>
        <v>1.2369002820326485</v>
      </c>
      <c r="R102" s="21">
        <f t="shared" si="38"/>
        <v>0.70418021910032824</v>
      </c>
      <c r="S102" s="21">
        <f t="shared" si="39"/>
        <v>1.5281411068913948</v>
      </c>
      <c r="T102" s="21">
        <f t="shared" si="40"/>
        <v>0.93894174868361702</v>
      </c>
      <c r="U102" s="21">
        <f t="shared" si="41"/>
        <v>1.2369002820326485</v>
      </c>
      <c r="Y102" s="21">
        <f t="shared" si="42"/>
        <v>5.2522833302409371</v>
      </c>
      <c r="Z102" s="21">
        <f t="shared" si="43"/>
        <v>5.2522833302409371</v>
      </c>
      <c r="AB102" s="21">
        <f t="shared" si="32"/>
        <v>4.5713722545128732E-2</v>
      </c>
      <c r="AD102" s="1">
        <f t="shared" si="44"/>
        <v>-4.7957452510641264E-4</v>
      </c>
      <c r="AE102" s="1">
        <f t="shared" si="33"/>
        <v>-4.7797090655615337E-4</v>
      </c>
      <c r="AF102" s="1">
        <f t="shared" si="45"/>
        <v>-3.3846437753656236E-4</v>
      </c>
      <c r="AG102" s="1">
        <f t="shared" si="34"/>
        <v>-3.3733260817433622E-4</v>
      </c>
      <c r="AH102" s="1">
        <f t="shared" si="46"/>
        <v>-5.8420376554750065E-4</v>
      </c>
      <c r="AI102" s="1">
        <f t="shared" si="35"/>
        <v>-5.8225028397890526E-4</v>
      </c>
      <c r="AJ102" s="1">
        <f t="shared" si="47"/>
        <v>-3.700510706297574E-4</v>
      </c>
      <c r="AK102" s="1">
        <f t="shared" si="36"/>
        <v>-3.6881368054680105E-4</v>
      </c>
      <c r="AL102" s="1">
        <f t="shared" si="48"/>
        <v>-4.4817375044243856E-4</v>
      </c>
      <c r="AM102" s="1">
        <f t="shared" si="49"/>
        <v>-3.1559508978157221E-4</v>
      </c>
      <c r="AN102" s="1">
        <f t="shared" si="50"/>
        <v>-6.8487273108077578E-4</v>
      </c>
      <c r="AO102" s="1">
        <f t="shared" si="51"/>
        <v>-4.2080904495451826E-4</v>
      </c>
      <c r="AP102" s="1">
        <f t="shared" si="52"/>
        <v>-5.5434623832188203E-4</v>
      </c>
    </row>
    <row r="103" spans="2:42" x14ac:dyDescent="0.3">
      <c r="B103" s="1">
        <v>0.49445566233151028</v>
      </c>
      <c r="C103" s="1"/>
      <c r="D103" s="4"/>
      <c r="E103" s="1"/>
      <c r="G103" s="4"/>
      <c r="H103" s="4"/>
      <c r="I103" s="1">
        <f t="shared" si="37"/>
        <v>5.0733459206035079</v>
      </c>
      <c r="M103" s="1">
        <f t="shared" si="28"/>
        <v>0.5514721508561542</v>
      </c>
      <c r="N103" s="1">
        <f t="shared" si="29"/>
        <v>1.3059673437146797</v>
      </c>
      <c r="O103" s="1">
        <f t="shared" si="30"/>
        <v>1.1098955714569592</v>
      </c>
      <c r="P103" s="1">
        <f t="shared" si="31"/>
        <v>1.1868370002792692</v>
      </c>
      <c r="R103" s="21">
        <f t="shared" si="38"/>
        <v>0.5514721508561542</v>
      </c>
      <c r="S103" s="21">
        <f t="shared" si="39"/>
        <v>1.3059673437146797</v>
      </c>
      <c r="T103" s="21">
        <f t="shared" si="40"/>
        <v>1.1098955714569592</v>
      </c>
      <c r="U103" s="21">
        <f t="shared" si="41"/>
        <v>1.1868370002792692</v>
      </c>
      <c r="Y103" s="21">
        <f t="shared" si="42"/>
        <v>5.1025938231834571</v>
      </c>
      <c r="Z103" s="21">
        <f t="shared" si="43"/>
        <v>5.1025938231834571</v>
      </c>
      <c r="AB103" s="21">
        <f t="shared" si="32"/>
        <v>-2.9247902579949248E-2</v>
      </c>
      <c r="AD103" s="1">
        <f t="shared" si="44"/>
        <v>3.0683453915376782E-4</v>
      </c>
      <c r="AE103" s="1">
        <f t="shared" si="33"/>
        <v>1.5171607528346E-4</v>
      </c>
      <c r="AF103" s="1">
        <f t="shared" si="45"/>
        <v>2.1655145522659735E-4</v>
      </c>
      <c r="AG103" s="1">
        <f t="shared" si="34"/>
        <v>1.0707509322291959E-4</v>
      </c>
      <c r="AH103" s="1">
        <f t="shared" si="46"/>
        <v>3.7377692890148533E-4</v>
      </c>
      <c r="AI103" s="1">
        <f t="shared" si="35"/>
        <v>1.8481611894422177E-4</v>
      </c>
      <c r="AJ103" s="1">
        <f t="shared" si="47"/>
        <v>2.3676080311990229E-4</v>
      </c>
      <c r="AK103" s="1">
        <f t="shared" si="36"/>
        <v>1.1706771972079159E-4</v>
      </c>
      <c r="AL103" s="1">
        <f t="shared" si="48"/>
        <v>2.867441429406789E-4</v>
      </c>
      <c r="AM103" s="1">
        <f t="shared" si="49"/>
        <v>1.5813140925290071E-4</v>
      </c>
      <c r="AN103" s="1">
        <f t="shared" si="50"/>
        <v>3.7447848668198082E-4</v>
      </c>
      <c r="AO103" s="1">
        <f t="shared" si="51"/>
        <v>3.1825605439108077E-4</v>
      </c>
      <c r="AP103" s="1">
        <f t="shared" si="52"/>
        <v>3.4031855845536533E-4</v>
      </c>
    </row>
    <row r="104" spans="2:42" x14ac:dyDescent="0.3">
      <c r="B104" s="1">
        <v>0.66417255054338531</v>
      </c>
      <c r="C104" s="1"/>
      <c r="D104" s="4"/>
      <c r="E104" s="1"/>
      <c r="G104" s="4"/>
      <c r="H104" s="4"/>
      <c r="I104" s="1">
        <f t="shared" si="37"/>
        <v>5.1323375530685915</v>
      </c>
      <c r="M104" s="1">
        <f t="shared" si="28"/>
        <v>0.60307930389544251</v>
      </c>
      <c r="N104" s="1">
        <f t="shared" si="29"/>
        <v>1.3810501833406912</v>
      </c>
      <c r="O104" s="1">
        <f t="shared" si="30"/>
        <v>1.05212233003</v>
      </c>
      <c r="P104" s="1">
        <f t="shared" si="31"/>
        <v>1.2037557097672613</v>
      </c>
      <c r="R104" s="21">
        <f t="shared" si="38"/>
        <v>0.60307930389544251</v>
      </c>
      <c r="S104" s="21">
        <f t="shared" si="39"/>
        <v>1.3810501833406912</v>
      </c>
      <c r="T104" s="21">
        <f t="shared" si="40"/>
        <v>1.05212233003</v>
      </c>
      <c r="U104" s="21">
        <f t="shared" si="41"/>
        <v>1.2037557097672613</v>
      </c>
      <c r="Y104" s="21">
        <f t="shared" si="42"/>
        <v>5.1531808641166119</v>
      </c>
      <c r="Z104" s="21">
        <f t="shared" si="43"/>
        <v>5.1531808641166119</v>
      </c>
      <c r="AB104" s="21">
        <f t="shared" si="32"/>
        <v>-2.0843311048020396E-2</v>
      </c>
      <c r="AD104" s="1">
        <f t="shared" si="44"/>
        <v>2.1866346560667029E-4</v>
      </c>
      <c r="AE104" s="1">
        <f t="shared" si="33"/>
        <v>1.4523027166263801E-4</v>
      </c>
      <c r="AF104" s="1">
        <f t="shared" si="45"/>
        <v>1.5432386397114644E-4</v>
      </c>
      <c r="AG104" s="1">
        <f t="shared" si="34"/>
        <v>1.0249767434342678E-4</v>
      </c>
      <c r="AH104" s="1">
        <f t="shared" si="46"/>
        <v>2.6636948650835468E-4</v>
      </c>
      <c r="AI104" s="1">
        <f t="shared" si="35"/>
        <v>1.7691530124118579E-4</v>
      </c>
      <c r="AJ104" s="1">
        <f t="shared" si="47"/>
        <v>1.6872591290666847E-4</v>
      </c>
      <c r="AK104" s="1">
        <f t="shared" si="36"/>
        <v>1.120631199179831E-4</v>
      </c>
      <c r="AL104" s="1">
        <f t="shared" si="48"/>
        <v>2.0434618674529799E-4</v>
      </c>
      <c r="AM104" s="1">
        <f t="shared" si="49"/>
        <v>1.2323695605604242E-4</v>
      </c>
      <c r="AN104" s="1">
        <f t="shared" si="50"/>
        <v>2.8221233866956489E-4</v>
      </c>
      <c r="AO104" s="1">
        <f t="shared" si="51"/>
        <v>2.1499718613120843E-4</v>
      </c>
      <c r="AP104" s="1">
        <f t="shared" si="52"/>
        <v>2.4598288906381953E-4</v>
      </c>
    </row>
    <row r="105" spans="2:42" x14ac:dyDescent="0.3">
      <c r="B105" s="1">
        <v>0.38770347566023067</v>
      </c>
      <c r="C105" s="1"/>
      <c r="D105" s="4"/>
      <c r="E105" s="1"/>
      <c r="G105" s="4"/>
      <c r="H105" s="4"/>
      <c r="I105" s="1">
        <f t="shared" si="37"/>
        <v>5.045094195511707</v>
      </c>
      <c r="M105" s="1">
        <f t="shared" si="28"/>
        <v>0.51901117132213326</v>
      </c>
      <c r="N105" s="1">
        <f t="shared" si="29"/>
        <v>1.2587401208023703</v>
      </c>
      <c r="O105" s="1">
        <f t="shared" si="30"/>
        <v>1.1462350301778628</v>
      </c>
      <c r="P105" s="1">
        <f t="shared" si="31"/>
        <v>1.1761951056951279</v>
      </c>
      <c r="R105" s="21">
        <f t="shared" si="38"/>
        <v>0.51901117132213326</v>
      </c>
      <c r="S105" s="21">
        <f t="shared" si="39"/>
        <v>1.2587401208023703</v>
      </c>
      <c r="T105" s="21">
        <f t="shared" si="40"/>
        <v>1.1462350301778628</v>
      </c>
      <c r="U105" s="21">
        <f t="shared" si="41"/>
        <v>1.1761951056951279</v>
      </c>
      <c r="Y105" s="21">
        <f t="shared" si="42"/>
        <v>5.0707744957509275</v>
      </c>
      <c r="Z105" s="21">
        <f t="shared" si="43"/>
        <v>5.0707744957509275</v>
      </c>
      <c r="AB105" s="21">
        <f t="shared" si="32"/>
        <v>-2.5680300239220522E-2</v>
      </c>
      <c r="AD105" s="1">
        <f t="shared" si="44"/>
        <v>2.6940745811405449E-4</v>
      </c>
      <c r="AE105" s="1">
        <f t="shared" si="33"/>
        <v>1.0445020787960694E-4</v>
      </c>
      <c r="AF105" s="1">
        <f t="shared" si="45"/>
        <v>1.9013692938349463E-4</v>
      </c>
      <c r="AG105" s="1">
        <f t="shared" si="34"/>
        <v>7.371674837334471E-5</v>
      </c>
      <c r="AH105" s="1">
        <f t="shared" si="46"/>
        <v>3.2818434520033823E-4</v>
      </c>
      <c r="AI105" s="1">
        <f t="shared" si="35"/>
        <v>1.2723821129144807E-4</v>
      </c>
      <c r="AJ105" s="1">
        <f t="shared" si="47"/>
        <v>2.0788118027876103E-4</v>
      </c>
      <c r="AK105" s="1">
        <f t="shared" si="36"/>
        <v>8.059625611842665E-5</v>
      </c>
      <c r="AL105" s="1">
        <f t="shared" si="48"/>
        <v>2.5176764940412278E-4</v>
      </c>
      <c r="AM105" s="1">
        <f t="shared" si="49"/>
        <v>1.3067022261825396E-4</v>
      </c>
      <c r="AN105" s="1">
        <f t="shared" si="50"/>
        <v>3.1691004142507431E-4</v>
      </c>
      <c r="AO105" s="1">
        <f t="shared" si="51"/>
        <v>2.8858489921254426E-4</v>
      </c>
      <c r="AP105" s="1">
        <f t="shared" si="52"/>
        <v>2.9612787700149609E-4</v>
      </c>
    </row>
    <row r="106" spans="2:42" x14ac:dyDescent="0.3">
      <c r="B106" s="1">
        <v>0.75991615580138139</v>
      </c>
      <c r="C106" s="1"/>
      <c r="D106" s="4"/>
      <c r="E106" s="1"/>
      <c r="G106" s="4"/>
      <c r="H106" s="4"/>
      <c r="I106" s="1">
        <f t="shared" si="37"/>
        <v>5.1732417691543846</v>
      </c>
      <c r="M106" s="1">
        <f t="shared" si="28"/>
        <v>0.63219281723604881</v>
      </c>
      <c r="N106" s="1">
        <f t="shared" si="29"/>
        <v>1.4234072041094663</v>
      </c>
      <c r="O106" s="1">
        <f t="shared" si="30"/>
        <v>1.0195302970276492</v>
      </c>
      <c r="P106" s="1">
        <f t="shared" si="31"/>
        <v>1.2133001826818883</v>
      </c>
      <c r="R106" s="21">
        <f t="shared" si="38"/>
        <v>0.63219281723604881</v>
      </c>
      <c r="S106" s="21">
        <f t="shared" si="39"/>
        <v>1.4234072041094663</v>
      </c>
      <c r="T106" s="21">
        <f t="shared" si="40"/>
        <v>1.0195302970276492</v>
      </c>
      <c r="U106" s="21">
        <f t="shared" si="41"/>
        <v>1.2133001826818883</v>
      </c>
      <c r="Y106" s="21">
        <f t="shared" si="42"/>
        <v>5.1817188942991326</v>
      </c>
      <c r="Z106" s="21">
        <f t="shared" si="43"/>
        <v>5.1817188942991326</v>
      </c>
      <c r="AB106" s="21">
        <f t="shared" si="32"/>
        <v>-8.4771251447479656E-3</v>
      </c>
      <c r="AD106" s="1">
        <f t="shared" si="44"/>
        <v>8.8932010766498975E-5</v>
      </c>
      <c r="AE106" s="1">
        <f t="shared" si="33"/>
        <v>6.7580871749364955E-5</v>
      </c>
      <c r="AF106" s="1">
        <f t="shared" si="45"/>
        <v>6.2764630086385408E-5</v>
      </c>
      <c r="AG106" s="1">
        <f t="shared" si="34"/>
        <v>4.7695856415541724E-5</v>
      </c>
      <c r="AH106" s="1">
        <f t="shared" si="46"/>
        <v>1.0833439402556135E-4</v>
      </c>
      <c r="AI106" s="1">
        <f t="shared" si="35"/>
        <v>8.2325056248976717E-5</v>
      </c>
      <c r="AJ106" s="1">
        <f t="shared" si="47"/>
        <v>6.8622047407747115E-5</v>
      </c>
      <c r="AK106" s="1">
        <f t="shared" si="36"/>
        <v>5.2147002469315334E-5</v>
      </c>
      <c r="AL106" s="1">
        <f t="shared" si="48"/>
        <v>8.3109070046548687E-5</v>
      </c>
      <c r="AM106" s="1">
        <f t="shared" si="49"/>
        <v>5.2540957130595736E-5</v>
      </c>
      <c r="AN106" s="1">
        <f t="shared" si="50"/>
        <v>1.1829804903109566E-4</v>
      </c>
      <c r="AO106" s="1">
        <f t="shared" si="51"/>
        <v>8.4732214870249483E-5</v>
      </c>
      <c r="AP106" s="1">
        <f t="shared" si="52"/>
        <v>1.0083624986999937E-4</v>
      </c>
    </row>
    <row r="107" spans="2:42" x14ac:dyDescent="0.3">
      <c r="B107" s="1">
        <v>0.85774259472400838</v>
      </c>
      <c r="C107" s="1"/>
      <c r="D107" s="4"/>
      <c r="E107" s="1"/>
      <c r="G107" s="4"/>
      <c r="H107" s="4"/>
      <c r="I107" s="1">
        <f t="shared" si="37"/>
        <v>5.220716707641162</v>
      </c>
      <c r="M107" s="1">
        <f t="shared" si="28"/>
        <v>0.66193967423984901</v>
      </c>
      <c r="N107" s="1">
        <f t="shared" si="29"/>
        <v>1.4666856715748948</v>
      </c>
      <c r="O107" s="1">
        <f t="shared" si="30"/>
        <v>0.98622924765440745</v>
      </c>
      <c r="P107" s="1">
        <f t="shared" si="31"/>
        <v>1.2230522887793707</v>
      </c>
      <c r="R107" s="21">
        <f t="shared" si="38"/>
        <v>0.66193967423984901</v>
      </c>
      <c r="S107" s="21">
        <f t="shared" si="39"/>
        <v>1.4666856715748948</v>
      </c>
      <c r="T107" s="21">
        <f t="shared" si="40"/>
        <v>0.98622924765440745</v>
      </c>
      <c r="U107" s="21">
        <f t="shared" si="41"/>
        <v>1.2230522887793707</v>
      </c>
      <c r="Y107" s="21">
        <f t="shared" si="42"/>
        <v>5.2108777489202804</v>
      </c>
      <c r="Z107" s="21">
        <f t="shared" si="43"/>
        <v>5.2108777489202804</v>
      </c>
      <c r="AB107" s="21">
        <f t="shared" si="32"/>
        <v>9.8389587208815854E-3</v>
      </c>
      <c r="AD107" s="1">
        <f t="shared" si="44"/>
        <v>-1.0321876437540722E-4</v>
      </c>
      <c r="AE107" s="1">
        <f t="shared" si="33"/>
        <v>-8.8535130779567831E-5</v>
      </c>
      <c r="AF107" s="1">
        <f t="shared" si="45"/>
        <v>-7.2847645163519467E-5</v>
      </c>
      <c r="AG107" s="1">
        <f t="shared" si="34"/>
        <v>-6.2484528182091048E-5</v>
      </c>
      <c r="AH107" s="1">
        <f t="shared" si="46"/>
        <v>-1.2573810256058323E-4</v>
      </c>
      <c r="AI107" s="1">
        <f t="shared" si="35"/>
        <v>-1.0785092634598814E-4</v>
      </c>
      <c r="AJ107" s="1">
        <f t="shared" si="47"/>
        <v>-7.9646045122444222E-5</v>
      </c>
      <c r="AK107" s="1">
        <f t="shared" si="36"/>
        <v>-6.8315805402830758E-5</v>
      </c>
      <c r="AL107" s="1">
        <f t="shared" si="48"/>
        <v>-9.6460379616486135E-5</v>
      </c>
      <c r="AM107" s="1">
        <f t="shared" si="49"/>
        <v>-6.3850952260388998E-5</v>
      </c>
      <c r="AN107" s="1">
        <f t="shared" si="50"/>
        <v>-1.4147705665817526E-4</v>
      </c>
      <c r="AO107" s="1">
        <f t="shared" si="51"/>
        <v>-9.5132047617625659E-5</v>
      </c>
      <c r="AP107" s="1">
        <f t="shared" si="52"/>
        <v>-1.1797608806647032E-4</v>
      </c>
    </row>
    <row r="108" spans="2:42" x14ac:dyDescent="0.3">
      <c r="B108" s="1">
        <v>0.48408180227646769</v>
      </c>
      <c r="C108" s="1"/>
      <c r="D108" s="4"/>
      <c r="E108" s="1"/>
      <c r="G108" s="4"/>
      <c r="H108" s="4"/>
      <c r="I108" s="1">
        <f t="shared" si="37"/>
        <v>5.0703005573885696</v>
      </c>
      <c r="M108" s="1">
        <f t="shared" si="28"/>
        <v>0.54831768939324788</v>
      </c>
      <c r="N108" s="1">
        <f t="shared" si="29"/>
        <v>1.3013779426301921</v>
      </c>
      <c r="O108" s="1">
        <f t="shared" si="30"/>
        <v>1.1134269319939332</v>
      </c>
      <c r="P108" s="1">
        <f t="shared" si="31"/>
        <v>1.1858028526090547</v>
      </c>
      <c r="R108" s="21">
        <f t="shared" si="38"/>
        <v>0.54831768939324788</v>
      </c>
      <c r="S108" s="21">
        <f t="shared" si="39"/>
        <v>1.3013779426301921</v>
      </c>
      <c r="T108" s="21">
        <f t="shared" si="40"/>
        <v>1.1134269319939332</v>
      </c>
      <c r="U108" s="21">
        <f t="shared" si="41"/>
        <v>1.1858028526090547</v>
      </c>
      <c r="Y108" s="21">
        <f t="shared" si="42"/>
        <v>5.0995017155637123</v>
      </c>
      <c r="Z108" s="21">
        <f t="shared" si="43"/>
        <v>5.0995017155637123</v>
      </c>
      <c r="AB108" s="21">
        <f t="shared" si="32"/>
        <v>-2.9201158175142794E-2</v>
      </c>
      <c r="AD108" s="1">
        <f t="shared" si="44"/>
        <v>3.0634415192454343E-4</v>
      </c>
      <c r="AE108" s="1">
        <f t="shared" si="33"/>
        <v>1.4829562918048902E-4</v>
      </c>
      <c r="AF108" s="1">
        <f t="shared" si="45"/>
        <v>2.1620535967814327E-4</v>
      </c>
      <c r="AG108" s="1">
        <f t="shared" si="34"/>
        <v>1.0466108017482753E-4</v>
      </c>
      <c r="AH108" s="1">
        <f t="shared" si="46"/>
        <v>3.7317955341364907E-4</v>
      </c>
      <c r="AI108" s="1">
        <f t="shared" si="35"/>
        <v>1.8064943078920659E-4</v>
      </c>
      <c r="AJ108" s="1">
        <f t="shared" si="47"/>
        <v>2.3638240871048827E-4</v>
      </c>
      <c r="AK108" s="1">
        <f t="shared" si="36"/>
        <v>1.1442842243502576E-4</v>
      </c>
      <c r="AL108" s="1">
        <f t="shared" si="48"/>
        <v>2.8628586446218424E-4</v>
      </c>
      <c r="AM108" s="1">
        <f t="shared" si="49"/>
        <v>1.5697560370785341E-4</v>
      </c>
      <c r="AN108" s="1">
        <f t="shared" si="50"/>
        <v>3.7256610929790337E-4</v>
      </c>
      <c r="AO108" s="1">
        <f t="shared" si="51"/>
        <v>3.187583917413608E-4</v>
      </c>
      <c r="AP108" s="1">
        <f t="shared" si="52"/>
        <v>3.3947859474090728E-4</v>
      </c>
    </row>
    <row r="109" spans="2:42" x14ac:dyDescent="0.3">
      <c r="B109" s="1">
        <v>0.47030777191846707</v>
      </c>
      <c r="C109" s="1"/>
      <c r="D109" s="4"/>
      <c r="E109" s="1"/>
      <c r="G109" s="4"/>
      <c r="H109" s="4"/>
      <c r="I109" s="1">
        <f t="shared" si="37"/>
        <v>5.0663568200980738</v>
      </c>
      <c r="M109" s="1">
        <f t="shared" si="28"/>
        <v>0.54412931132349607</v>
      </c>
      <c r="N109" s="1">
        <f t="shared" si="29"/>
        <v>1.2952843044350204</v>
      </c>
      <c r="O109" s="1">
        <f t="shared" si="30"/>
        <v>1.1181157428110489</v>
      </c>
      <c r="P109" s="1">
        <f t="shared" si="31"/>
        <v>1.1844297493159113</v>
      </c>
      <c r="R109" s="21">
        <f t="shared" si="38"/>
        <v>0.54412931132349607</v>
      </c>
      <c r="S109" s="21">
        <f t="shared" si="39"/>
        <v>1.2952843044350204</v>
      </c>
      <c r="T109" s="21">
        <f t="shared" si="40"/>
        <v>1.1181157428110489</v>
      </c>
      <c r="U109" s="21">
        <f t="shared" si="41"/>
        <v>1.1844297493159113</v>
      </c>
      <c r="Y109" s="21">
        <f t="shared" si="42"/>
        <v>5.0953961286367075</v>
      </c>
      <c r="Z109" s="21">
        <f t="shared" si="43"/>
        <v>5.0953961286367075</v>
      </c>
      <c r="AB109" s="21">
        <f t="shared" si="32"/>
        <v>-2.903930853863379E-2</v>
      </c>
      <c r="AD109" s="1">
        <f t="shared" si="44"/>
        <v>3.046462162009579E-4</v>
      </c>
      <c r="AE109" s="1">
        <f t="shared" si="33"/>
        <v>1.4327748316486411E-4</v>
      </c>
      <c r="AF109" s="1">
        <f t="shared" si="45"/>
        <v>2.1500702505506682E-4</v>
      </c>
      <c r="AG109" s="1">
        <f t="shared" si="34"/>
        <v>1.011194749004665E-4</v>
      </c>
      <c r="AH109" s="1">
        <f t="shared" si="46"/>
        <v>3.7111117740231656E-4</v>
      </c>
      <c r="AI109" s="1">
        <f t="shared" si="35"/>
        <v>1.7453647097812245E-4</v>
      </c>
      <c r="AJ109" s="1">
        <f t="shared" si="47"/>
        <v>2.350722412610519E-4</v>
      </c>
      <c r="AK109" s="1">
        <f t="shared" si="36"/>
        <v>1.1055630202736566E-4</v>
      </c>
      <c r="AL109" s="1">
        <f t="shared" si="48"/>
        <v>2.846991033199391E-4</v>
      </c>
      <c r="AM109" s="1">
        <f t="shared" si="49"/>
        <v>1.5491312702389532E-4</v>
      </c>
      <c r="AN109" s="1">
        <f t="shared" si="50"/>
        <v>3.6876628001704132E-4</v>
      </c>
      <c r="AO109" s="1">
        <f t="shared" si="51"/>
        <v>3.1832654938621324E-4</v>
      </c>
      <c r="AP109" s="1">
        <f t="shared" si="52"/>
        <v>3.3720608757570021E-4</v>
      </c>
    </row>
    <row r="110" spans="2:42" x14ac:dyDescent="0.3">
      <c r="B110" s="1">
        <v>0.12771193954512428</v>
      </c>
      <c r="C110" s="1"/>
      <c r="D110" s="4"/>
      <c r="E110" s="1"/>
      <c r="G110" s="4"/>
      <c r="H110" s="4"/>
      <c r="I110" s="1">
        <f t="shared" si="37"/>
        <v>5.0048931018507137</v>
      </c>
      <c r="M110" s="1">
        <f t="shared" si="28"/>
        <v>0.43995349394790761</v>
      </c>
      <c r="N110" s="1">
        <f t="shared" si="29"/>
        <v>1.1437197299861013</v>
      </c>
      <c r="O110" s="1">
        <f t="shared" si="30"/>
        <v>1.2347386195566188</v>
      </c>
      <c r="P110" s="1">
        <f t="shared" si="31"/>
        <v>1.1502771118218433</v>
      </c>
      <c r="R110" s="21">
        <f t="shared" si="38"/>
        <v>0.43995349394790761</v>
      </c>
      <c r="S110" s="21">
        <f t="shared" si="39"/>
        <v>1.1437197299861013</v>
      </c>
      <c r="T110" s="21">
        <f t="shared" si="40"/>
        <v>1.2347386195566188</v>
      </c>
      <c r="U110" s="21">
        <f t="shared" si="41"/>
        <v>1.1502771118218433</v>
      </c>
      <c r="Y110" s="21">
        <f t="shared" si="42"/>
        <v>4.9932795415463147</v>
      </c>
      <c r="Z110" s="21">
        <f t="shared" si="43"/>
        <v>4.9932795415463147</v>
      </c>
      <c r="AB110" s="21">
        <f t="shared" si="32"/>
        <v>1.1613560304398973E-2</v>
      </c>
      <c r="AD110" s="1">
        <f t="shared" si="44"/>
        <v>-1.2183579366739446E-4</v>
      </c>
      <c r="AE110" s="1">
        <f t="shared" si="33"/>
        <v>-1.5559885515282518E-5</v>
      </c>
      <c r="AF110" s="1">
        <f t="shared" si="45"/>
        <v>-8.5986794348923417E-5</v>
      </c>
      <c r="AG110" s="1">
        <f t="shared" si="34"/>
        <v>-1.0981540281568742E-5</v>
      </c>
      <c r="AH110" s="1">
        <f t="shared" si="46"/>
        <v>-1.4841682723486355E-4</v>
      </c>
      <c r="AI110" s="1">
        <f t="shared" si="35"/>
        <v>-1.8954600867298048E-5</v>
      </c>
      <c r="AJ110" s="1">
        <f t="shared" si="47"/>
        <v>-9.4011386192044996E-5</v>
      </c>
      <c r="AK110" s="1">
        <f t="shared" si="36"/>
        <v>-1.2006376469911782E-5</v>
      </c>
      <c r="AL110" s="1">
        <f t="shared" si="48"/>
        <v>-1.1385843435685268E-4</v>
      </c>
      <c r="AM110" s="1">
        <f t="shared" si="49"/>
        <v>-5.0092416010735823E-5</v>
      </c>
      <c r="AN110" s="1">
        <f t="shared" si="50"/>
        <v>-1.3022213779925978E-4</v>
      </c>
      <c r="AO110" s="1">
        <f t="shared" si="51"/>
        <v>-1.4058540606265817E-4</v>
      </c>
      <c r="AP110" s="1">
        <f t="shared" si="52"/>
        <v>-1.3096875102855746E-4</v>
      </c>
    </row>
    <row r="111" spans="2:42" x14ac:dyDescent="0.3">
      <c r="B111" s="1">
        <v>0.83925569538021272</v>
      </c>
      <c r="C111" s="1"/>
      <c r="D111" s="4"/>
      <c r="E111" s="1"/>
      <c r="G111" s="4"/>
      <c r="H111" s="4"/>
      <c r="I111" s="1">
        <f t="shared" si="37"/>
        <v>5.2113050366684375</v>
      </c>
      <c r="M111" s="1">
        <f t="shared" si="28"/>
        <v>0.65631821691931336</v>
      </c>
      <c r="N111" s="1">
        <f t="shared" si="29"/>
        <v>1.4585070576889296</v>
      </c>
      <c r="O111" s="1">
        <f t="shared" si="30"/>
        <v>0.99252236385679526</v>
      </c>
      <c r="P111" s="1">
        <f t="shared" si="31"/>
        <v>1.2212093697709749</v>
      </c>
      <c r="R111" s="21">
        <f t="shared" si="38"/>
        <v>0.65631821691931336</v>
      </c>
      <c r="S111" s="21">
        <f t="shared" si="39"/>
        <v>1.4585070576889296</v>
      </c>
      <c r="T111" s="21">
        <f t="shared" si="40"/>
        <v>0.99252236385679526</v>
      </c>
      <c r="U111" s="21">
        <f t="shared" si="41"/>
        <v>1.2212093697709749</v>
      </c>
      <c r="Y111" s="21">
        <f t="shared" si="42"/>
        <v>5.2053674102398757</v>
      </c>
      <c r="Z111" s="21">
        <f t="shared" si="43"/>
        <v>5.2053674102398757</v>
      </c>
      <c r="AB111" s="21">
        <f t="shared" si="32"/>
        <v>5.9376264285617708E-3</v>
      </c>
      <c r="AD111" s="1">
        <f t="shared" si="44"/>
        <v>-6.2290581825308596E-5</v>
      </c>
      <c r="AE111" s="1">
        <f t="shared" si="33"/>
        <v>-5.2277725565437404E-5</v>
      </c>
      <c r="AF111" s="1">
        <f t="shared" si="45"/>
        <v>-4.3962182935416032E-5</v>
      </c>
      <c r="AG111" s="1">
        <f t="shared" si="34"/>
        <v>-3.6895512409894705E-5</v>
      </c>
      <c r="AH111" s="1">
        <f t="shared" si="46"/>
        <v>-7.5880578628348413E-5</v>
      </c>
      <c r="AI111" s="1">
        <f t="shared" si="35"/>
        <v>-6.3683207782587461E-5</v>
      </c>
      <c r="AJ111" s="1">
        <f t="shared" si="47"/>
        <v>-4.8064889371451172E-5</v>
      </c>
      <c r="AK111" s="1">
        <f t="shared" si="36"/>
        <v>-4.0338732152810247E-5</v>
      </c>
      <c r="AL111" s="1">
        <f t="shared" si="48"/>
        <v>-5.8212023809429123E-5</v>
      </c>
      <c r="AM111" s="1">
        <f t="shared" si="49"/>
        <v>-3.8205611669869138E-5</v>
      </c>
      <c r="AN111" s="1">
        <f t="shared" si="50"/>
        <v>-8.4902647568408382E-5</v>
      </c>
      <c r="AO111" s="1">
        <f t="shared" si="51"/>
        <v>-5.7776735476222639E-5</v>
      </c>
      <c r="AP111" s="1">
        <f t="shared" si="52"/>
        <v>-7.1089068909405929E-5</v>
      </c>
    </row>
    <row r="112" spans="2:42" x14ac:dyDescent="0.3">
      <c r="B112" s="1">
        <v>4.2991159225939546E-2</v>
      </c>
      <c r="C112" s="1"/>
      <c r="D112" s="4"/>
      <c r="E112" s="1"/>
      <c r="G112" s="4"/>
      <c r="H112" s="4"/>
      <c r="I112" s="1">
        <f t="shared" si="37"/>
        <v>5.0005544719314772</v>
      </c>
      <c r="M112" s="1">
        <f t="shared" si="28"/>
        <v>0.41419177794188577</v>
      </c>
      <c r="N112" s="1">
        <f t="shared" si="29"/>
        <v>1.1062392127039631</v>
      </c>
      <c r="O112" s="1">
        <f t="shared" si="30"/>
        <v>1.2635783782089822</v>
      </c>
      <c r="P112" s="1">
        <f t="shared" si="31"/>
        <v>1.1418314804829817</v>
      </c>
      <c r="R112" s="21">
        <f t="shared" si="38"/>
        <v>0.41419177794188577</v>
      </c>
      <c r="S112" s="21">
        <f t="shared" si="39"/>
        <v>1.1062392127039631</v>
      </c>
      <c r="T112" s="21">
        <f t="shared" si="40"/>
        <v>1.2635783782089822</v>
      </c>
      <c r="U112" s="21">
        <f t="shared" si="41"/>
        <v>1.1418314804829817</v>
      </c>
      <c r="Y112" s="21">
        <f t="shared" si="42"/>
        <v>4.9680270541418485</v>
      </c>
      <c r="Z112" s="21">
        <f t="shared" si="43"/>
        <v>4.9680270541418485</v>
      </c>
      <c r="AB112" s="21">
        <f t="shared" si="32"/>
        <v>3.2527417789628643E-2</v>
      </c>
      <c r="AD112" s="1">
        <f t="shared" si="44"/>
        <v>-3.4123934938790719E-4</v>
      </c>
      <c r="AE112" s="1">
        <f t="shared" si="33"/>
        <v>-1.4670275203691535E-5</v>
      </c>
      <c r="AF112" s="1">
        <f t="shared" si="45"/>
        <v>-2.4083298410384053E-4</v>
      </c>
      <c r="AG112" s="1">
        <f t="shared" si="34"/>
        <v>-1.0353689166466376E-5</v>
      </c>
      <c r="AH112" s="1">
        <f t="shared" si="46"/>
        <v>-4.1568787003680018E-4</v>
      </c>
      <c r="AI112" s="1">
        <f t="shared" si="35"/>
        <v>-1.787090340904374E-5</v>
      </c>
      <c r="AJ112" s="1">
        <f t="shared" si="47"/>
        <v>-2.6330837017245147E-4</v>
      </c>
      <c r="AK112" s="1">
        <f t="shared" si="36"/>
        <v>-1.1319932067606493E-5</v>
      </c>
      <c r="AL112" s="1">
        <f t="shared" si="48"/>
        <v>-3.1889625283949651E-4</v>
      </c>
      <c r="AM112" s="1">
        <f t="shared" si="49"/>
        <v>-1.3208420594259621E-4</v>
      </c>
      <c r="AN112" s="1">
        <f t="shared" si="50"/>
        <v>-3.5277553967540858E-4</v>
      </c>
      <c r="AO112" s="1">
        <f t="shared" si="51"/>
        <v>-4.0295040997985254E-4</v>
      </c>
      <c r="AP112" s="1">
        <f t="shared" si="52"/>
        <v>-3.6412578050019754E-4</v>
      </c>
    </row>
    <row r="113" spans="2:42" x14ac:dyDescent="0.3">
      <c r="B113" s="1">
        <v>0.47579742876468778</v>
      </c>
      <c r="C113" s="1"/>
      <c r="D113" s="4"/>
      <c r="E113" s="1"/>
      <c r="G113" s="4"/>
      <c r="H113" s="4"/>
      <c r="I113" s="1">
        <f t="shared" si="37"/>
        <v>5.0679149579657263</v>
      </c>
      <c r="M113" s="1">
        <f t="shared" si="28"/>
        <v>0.54579859458682345</v>
      </c>
      <c r="N113" s="1">
        <f t="shared" si="29"/>
        <v>1.2977129314793252</v>
      </c>
      <c r="O113" s="1">
        <f t="shared" si="30"/>
        <v>1.1162470114569132</v>
      </c>
      <c r="P113" s="1">
        <f t="shared" si="31"/>
        <v>1.1849770013327761</v>
      </c>
      <c r="R113" s="21">
        <f t="shared" si="38"/>
        <v>0.54579859458682345</v>
      </c>
      <c r="S113" s="21">
        <f t="shared" si="39"/>
        <v>1.2977129314793252</v>
      </c>
      <c r="T113" s="21">
        <f t="shared" si="40"/>
        <v>1.1162470114569132</v>
      </c>
      <c r="U113" s="21">
        <f t="shared" si="41"/>
        <v>1.1849770013327761</v>
      </c>
      <c r="Y113" s="21">
        <f t="shared" si="42"/>
        <v>5.0970324153876287</v>
      </c>
      <c r="Z113" s="21">
        <f t="shared" si="43"/>
        <v>5.0970324153876287</v>
      </c>
      <c r="AB113" s="21">
        <f t="shared" si="32"/>
        <v>-2.9117457421902415E-2</v>
      </c>
      <c r="AD113" s="1">
        <f t="shared" si="44"/>
        <v>3.0546606222299537E-4</v>
      </c>
      <c r="AE113" s="1">
        <f t="shared" si="33"/>
        <v>1.4533996698057534E-4</v>
      </c>
      <c r="AF113" s="1">
        <f t="shared" si="45"/>
        <v>2.155856393454384E-4</v>
      </c>
      <c r="AG113" s="1">
        <f t="shared" si="34"/>
        <v>1.025750928791509E-4</v>
      </c>
      <c r="AH113" s="1">
        <f t="shared" si="46"/>
        <v>3.7210989002813244E-4</v>
      </c>
      <c r="AI113" s="1">
        <f t="shared" si="35"/>
        <v>1.7704892889329615E-4</v>
      </c>
      <c r="AJ113" s="1">
        <f t="shared" si="47"/>
        <v>2.35704853883958E-4</v>
      </c>
      <c r="AK113" s="1">
        <f t="shared" si="36"/>
        <v>1.1214776342534365E-4</v>
      </c>
      <c r="AL113" s="1">
        <f t="shared" si="48"/>
        <v>2.8546526884218055E-4</v>
      </c>
      <c r="AM113" s="1">
        <f t="shared" si="49"/>
        <v>1.5580654253741187E-4</v>
      </c>
      <c r="AN113" s="1">
        <f t="shared" si="50"/>
        <v>3.7045197086471978E-4</v>
      </c>
      <c r="AO113" s="1">
        <f t="shared" si="51"/>
        <v>3.1864975321982831E-4</v>
      </c>
      <c r="AP113" s="1">
        <f t="shared" si="52"/>
        <v>3.3826977825726184E-4</v>
      </c>
    </row>
    <row r="114" spans="2:42" x14ac:dyDescent="0.3">
      <c r="B114" s="1">
        <v>0.888563359324131</v>
      </c>
      <c r="C114" s="1"/>
      <c r="D114" s="4"/>
      <c r="E114" s="1"/>
      <c r="G114" s="4"/>
      <c r="H114" s="4"/>
      <c r="I114" s="1">
        <f t="shared" si="37"/>
        <v>5.2368634530600158</v>
      </c>
      <c r="M114" s="1">
        <f t="shared" si="28"/>
        <v>0.67131158726668194</v>
      </c>
      <c r="N114" s="1">
        <f t="shared" si="29"/>
        <v>1.4803207938659253</v>
      </c>
      <c r="O114" s="1">
        <f t="shared" si="30"/>
        <v>0.97573756652021504</v>
      </c>
      <c r="P114" s="1">
        <f t="shared" si="31"/>
        <v>1.2261247441370029</v>
      </c>
      <c r="R114" s="21">
        <f t="shared" si="38"/>
        <v>0.67131158726668194</v>
      </c>
      <c r="S114" s="21">
        <f t="shared" si="39"/>
        <v>1.4803207938659253</v>
      </c>
      <c r="T114" s="21">
        <f t="shared" si="40"/>
        <v>0.97573756652021504</v>
      </c>
      <c r="U114" s="21">
        <f t="shared" si="41"/>
        <v>1.2261247441370029</v>
      </c>
      <c r="Y114" s="21">
        <f t="shared" si="42"/>
        <v>5.220064408520539</v>
      </c>
      <c r="Z114" s="21">
        <f t="shared" si="43"/>
        <v>5.220064408520539</v>
      </c>
      <c r="AB114" s="21">
        <f t="shared" si="32"/>
        <v>1.6799044539476782E-2</v>
      </c>
      <c r="AD114" s="1">
        <f t="shared" si="44"/>
        <v>-1.7623578563980989E-4</v>
      </c>
      <c r="AE114" s="1">
        <f t="shared" si="33"/>
        <v>-1.5659666172123692E-4</v>
      </c>
      <c r="AF114" s="1">
        <f t="shared" si="45"/>
        <v>-1.2438011688174988E-4</v>
      </c>
      <c r="AG114" s="1">
        <f t="shared" si="34"/>
        <v>-1.1051961448957574E-4</v>
      </c>
      <c r="AH114" s="1">
        <f t="shared" si="46"/>
        <v>-2.1468531834995585E-4</v>
      </c>
      <c r="AI114" s="1">
        <f t="shared" si="35"/>
        <v>-1.9076150767060728E-4</v>
      </c>
      <c r="AJ114" s="1">
        <f t="shared" si="47"/>
        <v>-1.3598770940724438E-4</v>
      </c>
      <c r="AK114" s="1">
        <f t="shared" si="36"/>
        <v>-1.208336958976948E-4</v>
      </c>
      <c r="AL114" s="1">
        <f t="shared" si="48"/>
        <v>-1.6469651509290963E-4</v>
      </c>
      <c r="AM114" s="1">
        <f t="shared" si="49"/>
        <v>-1.105626789643122E-4</v>
      </c>
      <c r="AN114" s="1">
        <f t="shared" si="50"/>
        <v>-2.4380367596928734E-4</v>
      </c>
      <c r="AO114" s="1">
        <f t="shared" si="51"/>
        <v>-1.6070057685111552E-4</v>
      </c>
      <c r="AP114" s="1">
        <f t="shared" si="52"/>
        <v>-2.0193847242854987E-4</v>
      </c>
    </row>
    <row r="115" spans="2:42" x14ac:dyDescent="0.3">
      <c r="B115" s="1">
        <v>0.27351357348424221</v>
      </c>
      <c r="C115" s="1"/>
      <c r="D115" s="4"/>
      <c r="E115" s="1"/>
      <c r="G115" s="4"/>
      <c r="H115" s="4"/>
      <c r="I115" s="1">
        <f t="shared" si="37"/>
        <v>5.0224429024640358</v>
      </c>
      <c r="M115" s="1">
        <f t="shared" si="28"/>
        <v>0.48428854696090451</v>
      </c>
      <c r="N115" s="1">
        <f t="shared" si="29"/>
        <v>1.2082224486819255</v>
      </c>
      <c r="O115" s="1">
        <f t="shared" si="30"/>
        <v>1.1851063579310466</v>
      </c>
      <c r="P115" s="1">
        <f t="shared" si="31"/>
        <v>1.1648117613401103</v>
      </c>
      <c r="R115" s="21">
        <f t="shared" si="38"/>
        <v>0.48428854696090451</v>
      </c>
      <c r="S115" s="21">
        <f t="shared" si="39"/>
        <v>1.2082224486819255</v>
      </c>
      <c r="T115" s="21">
        <f t="shared" si="40"/>
        <v>1.1851063579310466</v>
      </c>
      <c r="U115" s="21">
        <f t="shared" si="41"/>
        <v>1.1648117613401103</v>
      </c>
      <c r="Y115" s="21">
        <f t="shared" si="42"/>
        <v>5.0367382291401572</v>
      </c>
      <c r="Z115" s="21">
        <f t="shared" si="43"/>
        <v>5.0367382291401572</v>
      </c>
      <c r="AB115" s="21">
        <f t="shared" si="32"/>
        <v>-1.4295326676121434E-2</v>
      </c>
      <c r="AD115" s="1">
        <f t="shared" si="44"/>
        <v>1.4996972725583711E-4</v>
      </c>
      <c r="AE115" s="1">
        <f t="shared" si="33"/>
        <v>4.1018756016201166E-5</v>
      </c>
      <c r="AF115" s="1">
        <f t="shared" si="45"/>
        <v>1.058425911462081E-4</v>
      </c>
      <c r="AG115" s="1">
        <f t="shared" si="34"/>
        <v>2.8949385331230991E-5</v>
      </c>
      <c r="AH115" s="1">
        <f t="shared" si="46"/>
        <v>1.8268876846940795E-4</v>
      </c>
      <c r="AI115" s="1">
        <f t="shared" si="35"/>
        <v>4.9967857899503124E-5</v>
      </c>
      <c r="AJ115" s="1">
        <f t="shared" si="47"/>
        <v>1.1572019619007315E-4</v>
      </c>
      <c r="AK115" s="1">
        <f t="shared" si="36"/>
        <v>3.1651044384244495E-5</v>
      </c>
      <c r="AL115" s="1">
        <f t="shared" si="48"/>
        <v>1.4015026153060229E-4</v>
      </c>
      <c r="AM115" s="1">
        <f t="shared" si="49"/>
        <v>6.7873166512846133E-5</v>
      </c>
      <c r="AN115" s="1">
        <f t="shared" si="50"/>
        <v>1.6933269216991655E-4</v>
      </c>
      <c r="AO115" s="1">
        <f t="shared" si="51"/>
        <v>1.6609296600561573E-4</v>
      </c>
      <c r="AP115" s="1">
        <f t="shared" si="52"/>
        <v>1.6324867298573794E-4</v>
      </c>
    </row>
    <row r="116" spans="2:42" x14ac:dyDescent="0.3">
      <c r="B116" s="1">
        <v>0.29644210041805508</v>
      </c>
      <c r="C116" s="1"/>
      <c r="D116" s="4"/>
      <c r="E116" s="1"/>
      <c r="G116" s="4"/>
      <c r="H116" s="4"/>
      <c r="I116" s="1">
        <f t="shared" si="37"/>
        <v>5.0263633756700807</v>
      </c>
      <c r="M116" s="1">
        <f t="shared" si="28"/>
        <v>0.49126060502127572</v>
      </c>
      <c r="N116" s="1">
        <f t="shared" si="29"/>
        <v>1.2183660409241011</v>
      </c>
      <c r="O116" s="1">
        <f t="shared" si="30"/>
        <v>1.1773012694918925</v>
      </c>
      <c r="P116" s="1">
        <f t="shared" si="31"/>
        <v>1.1670974565957086</v>
      </c>
      <c r="R116" s="21">
        <f t="shared" si="38"/>
        <v>0.49126060502127572</v>
      </c>
      <c r="S116" s="21">
        <f t="shared" si="39"/>
        <v>1.2183660409241011</v>
      </c>
      <c r="T116" s="21">
        <f t="shared" si="40"/>
        <v>1.1773012694918925</v>
      </c>
      <c r="U116" s="21">
        <f t="shared" si="41"/>
        <v>1.1670974565957086</v>
      </c>
      <c r="Y116" s="21">
        <f t="shared" si="42"/>
        <v>5.0435724714053682</v>
      </c>
      <c r="Z116" s="21">
        <f t="shared" si="43"/>
        <v>5.0435724714053682</v>
      </c>
      <c r="AB116" s="21">
        <f t="shared" si="32"/>
        <v>-1.7209095735287505E-2</v>
      </c>
      <c r="AD116" s="1">
        <f t="shared" si="44"/>
        <v>1.8053755973633222E-4</v>
      </c>
      <c r="AE116" s="1">
        <f t="shared" si="33"/>
        <v>5.3518933412588411E-5</v>
      </c>
      <c r="AF116" s="1">
        <f t="shared" si="45"/>
        <v>1.2741613571857043E-4</v>
      </c>
      <c r="AG116" s="1">
        <f t="shared" si="34"/>
        <v>3.7771506899564988E-5</v>
      </c>
      <c r="AH116" s="1">
        <f t="shared" si="46"/>
        <v>2.1992561468380594E-4</v>
      </c>
      <c r="AI116" s="1">
        <f t="shared" si="35"/>
        <v>6.5195211152599286E-5</v>
      </c>
      <c r="AJ116" s="1">
        <f t="shared" si="47"/>
        <v>1.3930706026240547E-4</v>
      </c>
      <c r="AK116" s="1">
        <f t="shared" si="36"/>
        <v>4.1296477547252053E-5</v>
      </c>
      <c r="AL116" s="1">
        <f t="shared" si="48"/>
        <v>1.6871662485575984E-4</v>
      </c>
      <c r="AM116" s="1">
        <f t="shared" si="49"/>
        <v>8.2883831203788184E-5</v>
      </c>
      <c r="AN116" s="1">
        <f t="shared" si="50"/>
        <v>2.0555860626358889E-4</v>
      </c>
      <c r="AO116" s="1">
        <f t="shared" si="51"/>
        <v>1.9863029662707345E-4</v>
      </c>
      <c r="AP116" s="1">
        <f t="shared" si="52"/>
        <v>1.9690874375456963E-4</v>
      </c>
    </row>
    <row r="117" spans="2:42" x14ac:dyDescent="0.3">
      <c r="B117" s="1">
        <v>0.75276560995130704</v>
      </c>
      <c r="C117" s="1"/>
      <c r="D117" s="4"/>
      <c r="E117" s="1"/>
      <c r="G117" s="4"/>
      <c r="H117" s="4"/>
      <c r="I117" s="1">
        <f t="shared" si="37"/>
        <v>5.1699968190576087</v>
      </c>
      <c r="M117" s="1">
        <f t="shared" si="28"/>
        <v>0.63001849435111257</v>
      </c>
      <c r="N117" s="1">
        <f t="shared" si="29"/>
        <v>1.4202437989059173</v>
      </c>
      <c r="O117" s="1">
        <f t="shared" si="30"/>
        <v>1.0219644107807553</v>
      </c>
      <c r="P117" s="1">
        <f t="shared" si="31"/>
        <v>1.2125873602327344</v>
      </c>
      <c r="R117" s="21">
        <f t="shared" si="38"/>
        <v>0.63001849435111257</v>
      </c>
      <c r="S117" s="21">
        <f t="shared" si="39"/>
        <v>1.4202437989059173</v>
      </c>
      <c r="T117" s="21">
        <f t="shared" si="40"/>
        <v>1.0219644107807553</v>
      </c>
      <c r="U117" s="21">
        <f t="shared" si="41"/>
        <v>1.2125873602327344</v>
      </c>
      <c r="Y117" s="21">
        <f t="shared" si="42"/>
        <v>5.1795875509813092</v>
      </c>
      <c r="Z117" s="21">
        <f t="shared" si="43"/>
        <v>5.1795875509813092</v>
      </c>
      <c r="AB117" s="21">
        <f t="shared" si="32"/>
        <v>-9.590731923700524E-3</v>
      </c>
      <c r="AD117" s="1">
        <f t="shared" si="44"/>
        <v>1.0061466123637115E-4</v>
      </c>
      <c r="AE117" s="1">
        <f t="shared" si="33"/>
        <v>7.5739256835641067E-5</v>
      </c>
      <c r="AF117" s="1">
        <f t="shared" si="45"/>
        <v>7.1009774088530076E-5</v>
      </c>
      <c r="AG117" s="1">
        <f t="shared" si="34"/>
        <v>5.3453715904256861E-5</v>
      </c>
      <c r="AH117" s="1">
        <f t="shared" si="46"/>
        <v>1.2256585970768906E-4</v>
      </c>
      <c r="AI117" s="1">
        <f t="shared" si="35"/>
        <v>9.2263364142064884E-5</v>
      </c>
      <c r="AJ117" s="1">
        <f t="shared" si="47"/>
        <v>7.763665741692175E-5</v>
      </c>
      <c r="AK117" s="1">
        <f t="shared" si="36"/>
        <v>5.8442205775029768E-5</v>
      </c>
      <c r="AL117" s="1">
        <f t="shared" si="48"/>
        <v>9.4026783565691414E-5</v>
      </c>
      <c r="AM117" s="1">
        <f t="shared" si="49"/>
        <v>5.9238612610734843E-5</v>
      </c>
      <c r="AN117" s="1">
        <f t="shared" si="50"/>
        <v>1.3354095629024206E-4</v>
      </c>
      <c r="AO117" s="1">
        <f t="shared" si="51"/>
        <v>9.6092026464321431E-5</v>
      </c>
      <c r="AP117" s="1">
        <f t="shared" si="52"/>
        <v>1.140156892750964E-4</v>
      </c>
    </row>
    <row r="118" spans="2:42" x14ac:dyDescent="0.3">
      <c r="B118" s="1">
        <v>0.69562953849290521</v>
      </c>
      <c r="C118" s="1"/>
      <c r="D118" s="4"/>
      <c r="E118" s="1"/>
      <c r="G118" s="4"/>
      <c r="H118" s="4"/>
      <c r="I118" s="1">
        <f t="shared" si="37"/>
        <v>5.145170136447156</v>
      </c>
      <c r="M118" s="1">
        <f t="shared" si="28"/>
        <v>0.6126446783750833</v>
      </c>
      <c r="N118" s="1">
        <f t="shared" si="29"/>
        <v>1.3949667711724372</v>
      </c>
      <c r="O118" s="1">
        <f t="shared" si="30"/>
        <v>1.0414140724221668</v>
      </c>
      <c r="P118" s="1">
        <f t="shared" si="31"/>
        <v>1.2068915888544431</v>
      </c>
      <c r="R118" s="21">
        <f t="shared" si="38"/>
        <v>0.6126446783750833</v>
      </c>
      <c r="S118" s="21">
        <f t="shared" si="39"/>
        <v>1.3949667711724372</v>
      </c>
      <c r="T118" s="21">
        <f t="shared" si="40"/>
        <v>1.0414140724221668</v>
      </c>
      <c r="U118" s="21">
        <f t="shared" si="41"/>
        <v>1.2068915888544431</v>
      </c>
      <c r="Y118" s="21">
        <f t="shared" si="42"/>
        <v>5.1625571610414616</v>
      </c>
      <c r="Z118" s="21">
        <f t="shared" si="43"/>
        <v>5.1625571610414616</v>
      </c>
      <c r="AB118" s="21">
        <f t="shared" si="32"/>
        <v>-1.7387024594305522E-2</v>
      </c>
      <c r="AD118" s="1">
        <f t="shared" si="44"/>
        <v>1.8240417972078117E-4</v>
      </c>
      <c r="AE118" s="1">
        <f t="shared" si="33"/>
        <v>1.2688573535834394E-4</v>
      </c>
      <c r="AF118" s="1">
        <f t="shared" si="45"/>
        <v>1.2873352089659595E-4</v>
      </c>
      <c r="AG118" s="1">
        <f t="shared" si="34"/>
        <v>8.955083972986581E-5</v>
      </c>
      <c r="AH118" s="1">
        <f t="shared" si="46"/>
        <v>2.2219947696520907E-4</v>
      </c>
      <c r="AI118" s="1">
        <f t="shared" si="35"/>
        <v>1.5456851961467331E-4</v>
      </c>
      <c r="AJ118" s="1">
        <f t="shared" si="47"/>
        <v>1.4074738848574256E-4</v>
      </c>
      <c r="AK118" s="1">
        <f t="shared" si="36"/>
        <v>9.7908040896418737E-5</v>
      </c>
      <c r="AL118" s="1">
        <f t="shared" si="48"/>
        <v>1.7046102543436786E-4</v>
      </c>
      <c r="AM118" s="1">
        <f t="shared" si="49"/>
        <v>1.044320401027252E-4</v>
      </c>
      <c r="AN118" s="1">
        <f t="shared" si="50"/>
        <v>2.3778746626092282E-4</v>
      </c>
      <c r="AO118" s="1">
        <f t="shared" si="51"/>
        <v>1.7752051068686359E-4</v>
      </c>
      <c r="AP118" s="1">
        <f t="shared" si="52"/>
        <v>2.0572797782424188E-4</v>
      </c>
    </row>
    <row r="119" spans="2:42" x14ac:dyDescent="0.3">
      <c r="B119" s="1">
        <v>0.727864169014794</v>
      </c>
      <c r="C119" s="1"/>
      <c r="D119" s="4"/>
      <c r="E119" s="1"/>
      <c r="G119" s="4"/>
      <c r="H119" s="4"/>
      <c r="I119" s="1">
        <f t="shared" si="37"/>
        <v>5.1589358745606786</v>
      </c>
      <c r="M119" s="1">
        <f t="shared" si="28"/>
        <v>0.62244651676627072</v>
      </c>
      <c r="N119" s="1">
        <f t="shared" si="29"/>
        <v>1.4092273884827029</v>
      </c>
      <c r="O119" s="1">
        <f t="shared" si="30"/>
        <v>1.0304410978934033</v>
      </c>
      <c r="P119" s="1">
        <f t="shared" si="31"/>
        <v>1.2101049894476226</v>
      </c>
      <c r="R119" s="21">
        <f t="shared" si="38"/>
        <v>0.62244651676627072</v>
      </c>
      <c r="S119" s="21">
        <f t="shared" si="39"/>
        <v>1.4092273884827029</v>
      </c>
      <c r="T119" s="21">
        <f t="shared" si="40"/>
        <v>1.0304410978934033</v>
      </c>
      <c r="U119" s="21">
        <f t="shared" si="41"/>
        <v>1.2101049894476226</v>
      </c>
      <c r="Y119" s="21">
        <f t="shared" si="42"/>
        <v>5.1721652477254469</v>
      </c>
      <c r="Z119" s="21">
        <f t="shared" si="43"/>
        <v>5.1721652477254469</v>
      </c>
      <c r="AB119" s="21">
        <f t="shared" si="32"/>
        <v>-1.3229373164768354E-2</v>
      </c>
      <c r="AD119" s="1">
        <f t="shared" si="44"/>
        <v>1.3878699873295206E-4</v>
      </c>
      <c r="AE119" s="1">
        <f t="shared" si="33"/>
        <v>1.0101808350281743E-4</v>
      </c>
      <c r="AF119" s="1">
        <f t="shared" si="45"/>
        <v>9.7950271912156171E-5</v>
      </c>
      <c r="AG119" s="1">
        <f t="shared" si="34"/>
        <v>7.1294493270114667E-5</v>
      </c>
      <c r="AH119" s="1">
        <f t="shared" si="46"/>
        <v>1.6906629319152431E-4</v>
      </c>
      <c r="AI119" s="1">
        <f t="shared" si="35"/>
        <v>1.2305729700226036E-4</v>
      </c>
      <c r="AJ119" s="1">
        <f t="shared" si="47"/>
        <v>1.0709133780453374E-4</v>
      </c>
      <c r="AK119" s="1">
        <f t="shared" si="36"/>
        <v>7.7947947599779546E-5</v>
      </c>
      <c r="AL119" s="1">
        <f t="shared" si="48"/>
        <v>1.2969973690949368E-4</v>
      </c>
      <c r="AM119" s="1">
        <f t="shared" si="49"/>
        <v>8.0731149464816063E-5</v>
      </c>
      <c r="AN119" s="1">
        <f t="shared" si="50"/>
        <v>1.8277642153185941E-4</v>
      </c>
      <c r="AO119" s="1">
        <f t="shared" si="51"/>
        <v>1.3364793929750423E-4</v>
      </c>
      <c r="AP119" s="1">
        <f t="shared" si="52"/>
        <v>1.5695029876422226E-4</v>
      </c>
    </row>
    <row r="120" spans="2:42" x14ac:dyDescent="0.3">
      <c r="B120" s="1">
        <v>0.93712178465664286</v>
      </c>
      <c r="C120" s="1"/>
      <c r="D120" s="4"/>
      <c r="E120" s="1"/>
      <c r="G120" s="4"/>
      <c r="H120" s="4"/>
      <c r="I120" s="1">
        <f t="shared" si="37"/>
        <v>5.2634591717834152</v>
      </c>
      <c r="M120" s="1">
        <f t="shared" si="28"/>
        <v>0.68607713071898302</v>
      </c>
      <c r="N120" s="1">
        <f t="shared" si="29"/>
        <v>1.5018030664915054</v>
      </c>
      <c r="O120" s="1">
        <f t="shared" si="30"/>
        <v>0.95920781712635428</v>
      </c>
      <c r="P120" s="1">
        <f t="shared" si="31"/>
        <v>1.230965428526464</v>
      </c>
      <c r="R120" s="21">
        <f t="shared" si="38"/>
        <v>0.68607713071898302</v>
      </c>
      <c r="S120" s="21">
        <f t="shared" si="39"/>
        <v>1.5018030664915054</v>
      </c>
      <c r="T120" s="21">
        <f t="shared" si="40"/>
        <v>0.95920781712635428</v>
      </c>
      <c r="U120" s="21">
        <f t="shared" si="41"/>
        <v>1.230965428526464</v>
      </c>
      <c r="Y120" s="21">
        <f t="shared" si="42"/>
        <v>5.2345380833317261</v>
      </c>
      <c r="Z120" s="21">
        <f t="shared" si="43"/>
        <v>5.2345380833317261</v>
      </c>
      <c r="AB120" s="21">
        <f t="shared" si="32"/>
        <v>2.8921088451689059E-2</v>
      </c>
      <c r="AD120" s="1">
        <f t="shared" si="44"/>
        <v>-3.0340599031476831E-4</v>
      </c>
      <c r="AE120" s="1">
        <f t="shared" si="33"/>
        <v>-2.8432836311929178E-4</v>
      </c>
      <c r="AF120" s="1">
        <f t="shared" si="45"/>
        <v>-2.141317235938794E-4</v>
      </c>
      <c r="AG120" s="1">
        <f t="shared" si="34"/>
        <v>-2.0066750296589923E-4</v>
      </c>
      <c r="AH120" s="1">
        <f t="shared" si="46"/>
        <v>-3.6960037022864384E-4</v>
      </c>
      <c r="AI120" s="1">
        <f t="shared" si="35"/>
        <v>-3.4636055855842264E-4</v>
      </c>
      <c r="AJ120" s="1">
        <f t="shared" si="47"/>
        <v>-2.3411525357096269E-4</v>
      </c>
      <c r="AK120" s="1">
        <f t="shared" si="36"/>
        <v>-2.1939450424176304E-4</v>
      </c>
      <c r="AL120" s="1">
        <f t="shared" si="48"/>
        <v>-2.8354008285969663E-4</v>
      </c>
      <c r="AM120" s="1">
        <f t="shared" si="49"/>
        <v>-1.9453036649220336E-4</v>
      </c>
      <c r="AN120" s="1">
        <f t="shared" si="50"/>
        <v>-4.2582136591194793E-4</v>
      </c>
      <c r="AO120" s="1">
        <f t="shared" si="51"/>
        <v>-2.7197386394767523E-4</v>
      </c>
      <c r="AP120" s="1">
        <f t="shared" si="52"/>
        <v>-3.4902803960181557E-4</v>
      </c>
    </row>
    <row r="121" spans="2:42" x14ac:dyDescent="0.3">
      <c r="B121" s="1">
        <v>0.25891896393948033</v>
      </c>
      <c r="C121" s="1"/>
      <c r="D121" s="4"/>
      <c r="E121" s="1"/>
      <c r="G121" s="4"/>
      <c r="H121" s="4"/>
      <c r="I121" s="1">
        <f t="shared" si="37"/>
        <v>5.0201117089662484</v>
      </c>
      <c r="M121" s="1">
        <f t="shared" si="28"/>
        <v>0.47985064890455492</v>
      </c>
      <c r="N121" s="1">
        <f t="shared" si="29"/>
        <v>1.2017657858276927</v>
      </c>
      <c r="O121" s="1">
        <f t="shared" si="30"/>
        <v>1.1900745017006229</v>
      </c>
      <c r="P121" s="1">
        <f t="shared" si="31"/>
        <v>1.1633568562827523</v>
      </c>
      <c r="R121" s="21">
        <f t="shared" si="38"/>
        <v>0.47985064890455492</v>
      </c>
      <c r="S121" s="21">
        <f t="shared" si="39"/>
        <v>1.2017657858276927</v>
      </c>
      <c r="T121" s="21">
        <f t="shared" si="40"/>
        <v>1.1900745017006229</v>
      </c>
      <c r="U121" s="21">
        <f t="shared" si="41"/>
        <v>1.1633568562827523</v>
      </c>
      <c r="Y121" s="21">
        <f t="shared" si="42"/>
        <v>5.0323880544567592</v>
      </c>
      <c r="Z121" s="21">
        <f t="shared" si="43"/>
        <v>5.0323880544567592</v>
      </c>
      <c r="AB121" s="21">
        <f t="shared" si="32"/>
        <v>-1.227634549051082E-2</v>
      </c>
      <c r="AD121" s="1">
        <f t="shared" si="44"/>
        <v>1.2878895506358937E-4</v>
      </c>
      <c r="AE121" s="1">
        <f t="shared" si="33"/>
        <v>3.3345902811912848E-5</v>
      </c>
      <c r="AF121" s="1">
        <f t="shared" si="45"/>
        <v>9.089405551620951E-5</v>
      </c>
      <c r="AG121" s="1">
        <f t="shared" si="34"/>
        <v>2.3534194682514574E-5</v>
      </c>
      <c r="AH121" s="1">
        <f t="shared" si="46"/>
        <v>1.5688696661354565E-4</v>
      </c>
      <c r="AI121" s="1">
        <f t="shared" si="35"/>
        <v>4.0621010851187078E-5</v>
      </c>
      <c r="AJ121" s="1">
        <f t="shared" si="47"/>
        <v>9.9376610331822847E-5</v>
      </c>
      <c r="AK121" s="1">
        <f t="shared" si="36"/>
        <v>2.5730488986933026E-5</v>
      </c>
      <c r="AL121" s="1">
        <f t="shared" si="48"/>
        <v>1.2035632833834138E-4</v>
      </c>
      <c r="AM121" s="1">
        <f t="shared" si="49"/>
        <v>5.7753062252922781E-5</v>
      </c>
      <c r="AN121" s="1">
        <f t="shared" si="50"/>
        <v>1.4464011750486261E-4</v>
      </c>
      <c r="AO121" s="1">
        <f t="shared" si="51"/>
        <v>1.4323299747376816E-4</v>
      </c>
      <c r="AP121" s="1">
        <f t="shared" si="52"/>
        <v>1.4001735976942756E-4</v>
      </c>
    </row>
    <row r="122" spans="2:42" x14ac:dyDescent="0.3">
      <c r="B122" s="1">
        <v>0.48045559811887284</v>
      </c>
      <c r="C122" s="1"/>
      <c r="D122" s="4"/>
      <c r="E122" s="1"/>
      <c r="G122" s="4"/>
      <c r="H122" s="4"/>
      <c r="I122" s="1">
        <f t="shared" si="37"/>
        <v>5.0692512745291287</v>
      </c>
      <c r="M122" s="1">
        <f t="shared" si="28"/>
        <v>0.54721504088911632</v>
      </c>
      <c r="N122" s="1">
        <f t="shared" si="29"/>
        <v>1.2997737080246414</v>
      </c>
      <c r="O122" s="1">
        <f t="shared" si="30"/>
        <v>1.1146613263460063</v>
      </c>
      <c r="P122" s="1">
        <f t="shared" si="31"/>
        <v>1.1854413641600685</v>
      </c>
      <c r="R122" s="21">
        <f t="shared" si="38"/>
        <v>0.54721504088911632</v>
      </c>
      <c r="S122" s="21">
        <f t="shared" si="39"/>
        <v>1.2997737080246414</v>
      </c>
      <c r="T122" s="21">
        <f t="shared" si="40"/>
        <v>1.1146613263460063</v>
      </c>
      <c r="U122" s="21">
        <f t="shared" si="41"/>
        <v>1.1854413641600685</v>
      </c>
      <c r="Y122" s="21">
        <f t="shared" si="42"/>
        <v>5.0984208629739385</v>
      </c>
      <c r="Z122" s="21">
        <f t="shared" si="43"/>
        <v>5.0984208629739385</v>
      </c>
      <c r="AB122" s="21">
        <f t="shared" si="32"/>
        <v>-2.9169588444809769E-2</v>
      </c>
      <c r="AD122" s="1">
        <f t="shared" si="44"/>
        <v>3.0601295950377194E-4</v>
      </c>
      <c r="AE122" s="1">
        <f t="shared" si="33"/>
        <v>1.4702563949051115E-4</v>
      </c>
      <c r="AF122" s="1">
        <f t="shared" si="45"/>
        <v>2.1597161741146142E-4</v>
      </c>
      <c r="AG122" s="1">
        <f t="shared" si="34"/>
        <v>1.0376477262012407E-4</v>
      </c>
      <c r="AH122" s="1">
        <f t="shared" si="46"/>
        <v>3.7277610442041373E-4</v>
      </c>
      <c r="AI122" s="1">
        <f t="shared" si="35"/>
        <v>1.7910236621373327E-4</v>
      </c>
      <c r="AJ122" s="1">
        <f t="shared" si="47"/>
        <v>2.3612685278857237E-4</v>
      </c>
      <c r="AK122" s="1">
        <f t="shared" si="36"/>
        <v>1.1344846828846057E-4</v>
      </c>
      <c r="AL122" s="1">
        <f t="shared" si="48"/>
        <v>2.8597635730205655E-4</v>
      </c>
      <c r="AM122" s="1">
        <f t="shared" si="49"/>
        <v>1.564905640543654E-4</v>
      </c>
      <c r="AN122" s="1">
        <f t="shared" si="50"/>
        <v>3.7170455033787379E-4</v>
      </c>
      <c r="AO122" s="1">
        <f t="shared" si="51"/>
        <v>3.187667857339098E-4</v>
      </c>
      <c r="AP122" s="1">
        <f t="shared" si="52"/>
        <v>3.390082031176771E-4</v>
      </c>
    </row>
    <row r="123" spans="2:42" x14ac:dyDescent="0.3">
      <c r="B123" s="1">
        <v>6.4716053832384657E-2</v>
      </c>
      <c r="C123" s="1"/>
      <c r="D123" s="4"/>
      <c r="E123" s="1"/>
      <c r="G123" s="4"/>
      <c r="H123" s="4"/>
      <c r="I123" s="1">
        <f t="shared" si="37"/>
        <v>5.0012564502870909</v>
      </c>
      <c r="M123" s="1">
        <f t="shared" si="28"/>
        <v>0.42079783802541476</v>
      </c>
      <c r="N123" s="1">
        <f t="shared" si="29"/>
        <v>1.1158503173784218</v>
      </c>
      <c r="O123" s="1">
        <f t="shared" si="30"/>
        <v>1.2561830176511897</v>
      </c>
      <c r="P123" s="1">
        <f t="shared" si="31"/>
        <v>1.143997188235323</v>
      </c>
      <c r="R123" s="21">
        <f t="shared" si="38"/>
        <v>0.42079783802541476</v>
      </c>
      <c r="S123" s="21">
        <f t="shared" si="39"/>
        <v>1.1158503173784218</v>
      </c>
      <c r="T123" s="21">
        <f t="shared" si="40"/>
        <v>1.2561830176511897</v>
      </c>
      <c r="U123" s="21">
        <f t="shared" si="41"/>
        <v>1.143997188235323</v>
      </c>
      <c r="Y123" s="21">
        <f t="shared" si="42"/>
        <v>4.9745025330662136</v>
      </c>
      <c r="Z123" s="21">
        <f t="shared" si="43"/>
        <v>4.9745025330662136</v>
      </c>
      <c r="AB123" s="21">
        <f t="shared" si="32"/>
        <v>2.6753917220877277E-2</v>
      </c>
      <c r="AD123" s="1">
        <f t="shared" si="44"/>
        <v>-2.8067058273961796E-4</v>
      </c>
      <c r="AE123" s="1">
        <f t="shared" si="33"/>
        <v>-1.8163892541743888E-5</v>
      </c>
      <c r="AF123" s="1">
        <f t="shared" si="45"/>
        <v>-1.9808598894762014E-4</v>
      </c>
      <c r="AG123" s="1">
        <f t="shared" si="34"/>
        <v>-1.2819343524175337E-5</v>
      </c>
      <c r="AH123" s="1">
        <f t="shared" si="46"/>
        <v>-3.4190475667679216E-4</v>
      </c>
      <c r="AI123" s="1">
        <f t="shared" si="35"/>
        <v>-2.2126726638643659E-5</v>
      </c>
      <c r="AJ123" s="1">
        <f t="shared" si="47"/>
        <v>-2.165720742027061E-4</v>
      </c>
      <c r="AK123" s="1">
        <f t="shared" si="36"/>
        <v>-1.4015690012693532E-5</v>
      </c>
      <c r="AL123" s="1">
        <f t="shared" si="48"/>
        <v>-2.6229330608703211E-4</v>
      </c>
      <c r="AM123" s="1">
        <f t="shared" si="49"/>
        <v>-1.1037245612996147E-4</v>
      </c>
      <c r="AN123" s="1">
        <f t="shared" si="50"/>
        <v>-2.9268006884345033E-4</v>
      </c>
      <c r="AO123" s="1">
        <f t="shared" si="51"/>
        <v>-3.2948839675011514E-4</v>
      </c>
      <c r="AP123" s="1">
        <f t="shared" si="52"/>
        <v>-3.000628046565117E-4</v>
      </c>
    </row>
    <row r="124" spans="2:42" x14ac:dyDescent="0.3">
      <c r="B124" s="1">
        <v>1.4426531017526556E-2</v>
      </c>
      <c r="C124" s="1"/>
      <c r="D124" s="4"/>
      <c r="E124" s="1"/>
      <c r="G124" s="4"/>
      <c r="H124" s="4"/>
      <c r="I124" s="1">
        <f t="shared" si="37"/>
        <v>5.0000624374391602</v>
      </c>
      <c r="M124" s="1">
        <f t="shared" si="28"/>
        <v>0.40550590610559789</v>
      </c>
      <c r="N124" s="1">
        <f t="shared" si="29"/>
        <v>1.0936022063261921</v>
      </c>
      <c r="O124" s="1">
        <f t="shared" si="30"/>
        <v>1.2733020490772331</v>
      </c>
      <c r="P124" s="1">
        <f t="shared" si="31"/>
        <v>1.138983934482213</v>
      </c>
      <c r="R124" s="21">
        <f t="shared" si="38"/>
        <v>0.40550590610559789</v>
      </c>
      <c r="S124" s="21">
        <f t="shared" si="39"/>
        <v>1.0936022063261921</v>
      </c>
      <c r="T124" s="21">
        <f t="shared" si="40"/>
        <v>1.2733020490772331</v>
      </c>
      <c r="U124" s="21">
        <f t="shared" si="41"/>
        <v>1.138983934482213</v>
      </c>
      <c r="Y124" s="21">
        <f t="shared" si="42"/>
        <v>4.9595128748421713</v>
      </c>
      <c r="Z124" s="21">
        <f t="shared" si="43"/>
        <v>4.9595128748421713</v>
      </c>
      <c r="AB124" s="21">
        <f t="shared" si="32"/>
        <v>4.0549562596988942E-2</v>
      </c>
      <c r="AD124" s="1">
        <f t="shared" si="44"/>
        <v>-4.2539824243204081E-4</v>
      </c>
      <c r="AE124" s="1">
        <f t="shared" si="33"/>
        <v>-6.1370209392471182E-6</v>
      </c>
      <c r="AF124" s="1">
        <f t="shared" si="45"/>
        <v>-3.0022894001294209E-4</v>
      </c>
      <c r="AG124" s="1">
        <f t="shared" si="34"/>
        <v>-4.3312621154558285E-6</v>
      </c>
      <c r="AH124" s="1">
        <f t="shared" si="46"/>
        <v>-5.1820779060552258E-4</v>
      </c>
      <c r="AI124" s="1">
        <f t="shared" si="35"/>
        <v>-7.475940764694478E-6</v>
      </c>
      <c r="AJ124" s="1">
        <f t="shared" si="47"/>
        <v>-3.2824736681137125E-4</v>
      </c>
      <c r="AK124" s="1">
        <f t="shared" si="36"/>
        <v>-4.7354708187256646E-6</v>
      </c>
      <c r="AL124" s="1">
        <f t="shared" si="48"/>
        <v>-3.9754473134302884E-4</v>
      </c>
      <c r="AM124" s="1">
        <f t="shared" si="49"/>
        <v>-1.6120673650076139E-4</v>
      </c>
      <c r="AN124" s="1">
        <f t="shared" si="50"/>
        <v>-4.3475579531008964E-4</v>
      </c>
      <c r="AO124" s="1">
        <f t="shared" si="51"/>
        <v>-5.0619452101893672E-4</v>
      </c>
      <c r="AP124" s="1">
        <f t="shared" si="52"/>
        <v>-4.5279706223775733E-4</v>
      </c>
    </row>
    <row r="125" spans="2:42" x14ac:dyDescent="0.3">
      <c r="B125" s="1">
        <v>0.3503656738788552</v>
      </c>
      <c r="C125" s="1"/>
      <c r="D125" s="4"/>
      <c r="E125" s="1"/>
      <c r="G125" s="4"/>
      <c r="H125" s="4"/>
      <c r="I125" s="1">
        <f t="shared" si="37"/>
        <v>5.0368268316297753</v>
      </c>
      <c r="M125" s="1">
        <f t="shared" si="28"/>
        <v>0.50765757138883427</v>
      </c>
      <c r="N125" s="1">
        <f t="shared" si="29"/>
        <v>1.2422218578724076</v>
      </c>
      <c r="O125" s="1">
        <f t="shared" si="30"/>
        <v>1.1589451726945839</v>
      </c>
      <c r="P125" s="1">
        <f t="shared" si="31"/>
        <v>1.1724729809972563</v>
      </c>
      <c r="R125" s="21">
        <f t="shared" si="38"/>
        <v>0.50765757138883427</v>
      </c>
      <c r="S125" s="21">
        <f t="shared" si="39"/>
        <v>1.2422218578724076</v>
      </c>
      <c r="T125" s="21">
        <f t="shared" si="40"/>
        <v>1.1589451726945839</v>
      </c>
      <c r="U125" s="21">
        <f t="shared" si="41"/>
        <v>1.1724729809972563</v>
      </c>
      <c r="Y125" s="21">
        <f t="shared" si="42"/>
        <v>5.0596453210001471</v>
      </c>
      <c r="Z125" s="21">
        <f t="shared" si="43"/>
        <v>5.0596453210001471</v>
      </c>
      <c r="AB125" s="21">
        <f t="shared" si="32"/>
        <v>-2.2818489370371786E-2</v>
      </c>
      <c r="AD125" s="1">
        <f t="shared" si="44"/>
        <v>2.3938470975840232E-4</v>
      </c>
      <c r="AE125" s="1">
        <f t="shared" si="33"/>
        <v>8.3872185150796793E-5</v>
      </c>
      <c r="AF125" s="1">
        <f t="shared" si="45"/>
        <v>1.6894808322475026E-4</v>
      </c>
      <c r="AG125" s="1">
        <f t="shared" si="34"/>
        <v>5.9193609029580538E-5</v>
      </c>
      <c r="AH125" s="1">
        <f t="shared" si="46"/>
        <v>2.9161150464429488E-4</v>
      </c>
      <c r="AI125" s="1">
        <f t="shared" si="35"/>
        <v>1.0217066133552529E-4</v>
      </c>
      <c r="AJ125" s="1">
        <f t="shared" si="47"/>
        <v>1.847149160369486E-4</v>
      </c>
      <c r="AK125" s="1">
        <f t="shared" si="36"/>
        <v>6.4717766032761648E-5</v>
      </c>
      <c r="AL125" s="1">
        <f t="shared" si="48"/>
        <v>2.2371068010168418E-4</v>
      </c>
      <c r="AM125" s="1">
        <f t="shared" si="49"/>
        <v>1.1356842055416541E-4</v>
      </c>
      <c r="AN125" s="1">
        <f t="shared" si="50"/>
        <v>2.7789829666181399E-4</v>
      </c>
      <c r="AO125" s="1">
        <f t="shared" si="51"/>
        <v>2.5926841278406919E-4</v>
      </c>
      <c r="AP125" s="1">
        <f t="shared" si="52"/>
        <v>2.6229472797974522E-4</v>
      </c>
    </row>
    <row r="126" spans="2:42" x14ac:dyDescent="0.3">
      <c r="B126" s="1">
        <v>0.97969104234940463</v>
      </c>
      <c r="C126" s="1"/>
      <c r="D126" s="4"/>
      <c r="E126" s="1"/>
      <c r="G126" s="4"/>
      <c r="H126" s="4"/>
      <c r="I126" s="1">
        <f t="shared" si="37"/>
        <v>5.2879383615378988</v>
      </c>
      <c r="M126" s="1">
        <f t="shared" si="28"/>
        <v>0.69902150072049207</v>
      </c>
      <c r="N126" s="1">
        <f t="shared" si="29"/>
        <v>1.5206357282378948</v>
      </c>
      <c r="O126" s="1">
        <f t="shared" si="30"/>
        <v>0.9447168373071857</v>
      </c>
      <c r="P126" s="1">
        <f t="shared" si="31"/>
        <v>1.2352090657484958</v>
      </c>
      <c r="R126" s="21">
        <f t="shared" si="38"/>
        <v>0.69902150072049207</v>
      </c>
      <c r="S126" s="21">
        <f t="shared" si="39"/>
        <v>1.5206357282378948</v>
      </c>
      <c r="T126" s="21">
        <f t="shared" si="40"/>
        <v>0.9447168373071857</v>
      </c>
      <c r="U126" s="21">
        <f t="shared" si="41"/>
        <v>1.2352090657484958</v>
      </c>
      <c r="Y126" s="21">
        <f t="shared" si="42"/>
        <v>5.247226583598767</v>
      </c>
      <c r="Z126" s="21">
        <f t="shared" si="43"/>
        <v>5.247226583598767</v>
      </c>
      <c r="AB126" s="21">
        <f t="shared" si="32"/>
        <v>4.0711777939131721E-2</v>
      </c>
      <c r="AD126" s="1">
        <f t="shared" si="44"/>
        <v>-4.2710001470832611E-4</v>
      </c>
      <c r="AE126" s="1">
        <f t="shared" si="33"/>
        <v>-4.1842605859704606E-4</v>
      </c>
      <c r="AF126" s="1">
        <f t="shared" si="45"/>
        <v>-3.0142998232033757E-4</v>
      </c>
      <c r="AG126" s="1">
        <f t="shared" si="34"/>
        <v>-2.9530825357477412E-4</v>
      </c>
      <c r="AH126" s="1">
        <f t="shared" si="46"/>
        <v>-5.2028084019398776E-4</v>
      </c>
      <c r="AI126" s="1">
        <f t="shared" si="35"/>
        <v>-5.0971447864407184E-4</v>
      </c>
      <c r="AJ126" s="1">
        <f t="shared" si="47"/>
        <v>-3.2956049463580617E-4</v>
      </c>
      <c r="AK126" s="1">
        <f t="shared" si="36"/>
        <v>-3.228674645069383E-4</v>
      </c>
      <c r="AL126" s="1">
        <f t="shared" si="48"/>
        <v>-3.9913507783462471E-4</v>
      </c>
      <c r="AM126" s="1">
        <f t="shared" si="49"/>
        <v>-2.790040010981498E-4</v>
      </c>
      <c r="AN126" s="1">
        <f t="shared" si="50"/>
        <v>-6.0693905974834334E-4</v>
      </c>
      <c r="AO126" s="1">
        <f t="shared" si="51"/>
        <v>-3.7706962839028404E-4</v>
      </c>
      <c r="AP126" s="1">
        <f t="shared" si="52"/>
        <v>-4.9301526659955989E-4</v>
      </c>
    </row>
    <row r="127" spans="2:42" x14ac:dyDescent="0.3">
      <c r="B127" s="1">
        <v>0.17586753506123576</v>
      </c>
      <c r="C127" s="1"/>
      <c r="D127" s="4"/>
      <c r="E127" s="1"/>
      <c r="G127" s="4"/>
      <c r="H127" s="4"/>
      <c r="I127" s="1">
        <f t="shared" si="37"/>
        <v>5.0092788169665541</v>
      </c>
      <c r="M127" s="1">
        <f t="shared" si="28"/>
        <v>0.45459654576014408</v>
      </c>
      <c r="N127" s="1">
        <f t="shared" si="29"/>
        <v>1.1650237904913674</v>
      </c>
      <c r="O127" s="1">
        <f t="shared" si="30"/>
        <v>1.2183459972600204</v>
      </c>
      <c r="P127" s="1">
        <f t="shared" si="31"/>
        <v>1.1550776389782289</v>
      </c>
      <c r="R127" s="21">
        <f t="shared" si="38"/>
        <v>0.45459654576014408</v>
      </c>
      <c r="S127" s="21">
        <f t="shared" si="39"/>
        <v>1.1650237904913674</v>
      </c>
      <c r="T127" s="21">
        <f t="shared" si="40"/>
        <v>1.2183459972600204</v>
      </c>
      <c r="U127" s="21">
        <f t="shared" si="41"/>
        <v>1.1550776389782289</v>
      </c>
      <c r="Y127" s="21">
        <f t="shared" si="42"/>
        <v>5.0076331459942862</v>
      </c>
      <c r="Z127" s="21">
        <f t="shared" si="43"/>
        <v>5.0076331459942862</v>
      </c>
      <c r="AB127" s="21">
        <f t="shared" si="32"/>
        <v>1.6456709722678653E-3</v>
      </c>
      <c r="AD127" s="1">
        <f t="shared" si="44"/>
        <v>-1.7264441202040535E-5</v>
      </c>
      <c r="AE127" s="1">
        <f t="shared" si="33"/>
        <v>-3.0362547184125071E-6</v>
      </c>
      <c r="AF127" s="1">
        <f t="shared" si="45"/>
        <v>-1.2184547007930917E-5</v>
      </c>
      <c r="AG127" s="1">
        <f t="shared" si="34"/>
        <v>-2.1428662481225659E-6</v>
      </c>
      <c r="AH127" s="1">
        <f t="shared" si="46"/>
        <v>-2.1031041125605097E-5</v>
      </c>
      <c r="AI127" s="1">
        <f t="shared" si="35"/>
        <v>-3.6986773625316454E-6</v>
      </c>
      <c r="AJ127" s="1">
        <f t="shared" si="47"/>
        <v>-1.3321652039840947E-5</v>
      </c>
      <c r="AK127" s="1">
        <f t="shared" si="36"/>
        <v>-2.3428461071903104E-6</v>
      </c>
      <c r="AL127" s="1">
        <f t="shared" si="48"/>
        <v>-1.6134029139881031E-5</v>
      </c>
      <c r="AM127" s="1">
        <f t="shared" si="49"/>
        <v>-7.3344739161834255E-6</v>
      </c>
      <c r="AN127" s="1">
        <f t="shared" si="50"/>
        <v>-1.8796527784442375E-5</v>
      </c>
      <c r="AO127" s="1">
        <f t="shared" si="51"/>
        <v>-1.9656829822250583E-5</v>
      </c>
      <c r="AP127" s="1">
        <f t="shared" si="52"/>
        <v>-1.8636056286099726E-5</v>
      </c>
    </row>
    <row r="128" spans="2:42" x14ac:dyDescent="0.3">
      <c r="B128" s="1">
        <v>0.31694179142336742</v>
      </c>
      <c r="C128" s="1"/>
      <c r="D128" s="4"/>
      <c r="E128" s="1"/>
      <c r="G128" s="4"/>
      <c r="H128" s="4"/>
      <c r="I128" s="1">
        <f t="shared" si="37"/>
        <v>5.030135629745196</v>
      </c>
      <c r="M128" s="1">
        <f t="shared" si="28"/>
        <v>0.49749410778058012</v>
      </c>
      <c r="N128" s="1">
        <f t="shared" si="29"/>
        <v>1.2274351148881084</v>
      </c>
      <c r="O128" s="1">
        <f t="shared" si="30"/>
        <v>1.1703229798820249</v>
      </c>
      <c r="P128" s="1">
        <f t="shared" si="31"/>
        <v>1.1691410264511699</v>
      </c>
      <c r="R128" s="21">
        <f t="shared" si="38"/>
        <v>0.49749410778058012</v>
      </c>
      <c r="S128" s="21">
        <f t="shared" si="39"/>
        <v>1.2274351148881084</v>
      </c>
      <c r="T128" s="21">
        <f t="shared" si="40"/>
        <v>1.1703229798820249</v>
      </c>
      <c r="U128" s="21">
        <f t="shared" si="41"/>
        <v>1.1691410264511699</v>
      </c>
      <c r="Y128" s="21">
        <f t="shared" si="42"/>
        <v>5.0496827572992986</v>
      </c>
      <c r="Z128" s="21">
        <f t="shared" si="43"/>
        <v>5.0496827572992986</v>
      </c>
      <c r="AB128" s="21">
        <f t="shared" si="32"/>
        <v>-1.9547127554102595E-2</v>
      </c>
      <c r="AD128" s="1">
        <f t="shared" si="44"/>
        <v>2.0506543532303415E-4</v>
      </c>
      <c r="AE128" s="1">
        <f t="shared" si="33"/>
        <v>6.4993806430295133E-5</v>
      </c>
      <c r="AF128" s="1">
        <f t="shared" si="45"/>
        <v>1.4472692206800222E-4</v>
      </c>
      <c r="AG128" s="1">
        <f t="shared" si="34"/>
        <v>4.5870009947422714E-5</v>
      </c>
      <c r="AH128" s="1">
        <f t="shared" si="46"/>
        <v>2.4980476073613713E-4</v>
      </c>
      <c r="AI128" s="1">
        <f t="shared" si="35"/>
        <v>7.9173568373796971E-5</v>
      </c>
      <c r="AJ128" s="1">
        <f t="shared" si="47"/>
        <v>1.5823335043413332E-4</v>
      </c>
      <c r="AK128" s="1">
        <f t="shared" si="36"/>
        <v>5.0150761549515688E-5</v>
      </c>
      <c r="AL128" s="1">
        <f t="shared" si="48"/>
        <v>1.9163850543237837E-4</v>
      </c>
      <c r="AM128" s="1">
        <f t="shared" si="49"/>
        <v>9.5339027276484934E-5</v>
      </c>
      <c r="AN128" s="1">
        <f t="shared" si="50"/>
        <v>2.3522383093237673E-4</v>
      </c>
      <c r="AO128" s="1">
        <f t="shared" si="51"/>
        <v>2.2427894673775867E-4</v>
      </c>
      <c r="AP128" s="1">
        <f t="shared" si="52"/>
        <v>2.2405243894877897E-4</v>
      </c>
    </row>
    <row r="129" spans="2:42" x14ac:dyDescent="0.3">
      <c r="B129" s="1">
        <v>0.5786218369434426</v>
      </c>
      <c r="C129" s="1"/>
      <c r="D129" s="4"/>
      <c r="E129" s="1"/>
      <c r="G129" s="4"/>
      <c r="H129" s="4"/>
      <c r="I129" s="1">
        <f t="shared" si="37"/>
        <v>5.1004409690563408</v>
      </c>
      <c r="M129" s="1">
        <f t="shared" si="28"/>
        <v>0.57706522352966982</v>
      </c>
      <c r="N129" s="1">
        <f t="shared" si="29"/>
        <v>1.343202503143442</v>
      </c>
      <c r="O129" s="1">
        <f t="shared" si="30"/>
        <v>1.0812446058573051</v>
      </c>
      <c r="P129" s="1">
        <f t="shared" si="31"/>
        <v>1.1952273441747878</v>
      </c>
      <c r="R129" s="21">
        <f t="shared" si="38"/>
        <v>0.57706522352966982</v>
      </c>
      <c r="S129" s="21">
        <f t="shared" si="39"/>
        <v>1.343202503143442</v>
      </c>
      <c r="T129" s="21">
        <f t="shared" si="40"/>
        <v>1.0812446058573051</v>
      </c>
      <c r="U129" s="21">
        <f t="shared" si="41"/>
        <v>1.1952273441747878</v>
      </c>
      <c r="Y129" s="21">
        <f t="shared" si="42"/>
        <v>5.1276810008069678</v>
      </c>
      <c r="Z129" s="21">
        <f t="shared" si="43"/>
        <v>5.1276810008069678</v>
      </c>
      <c r="AB129" s="21">
        <f t="shared" si="32"/>
        <v>-2.7240031750626947E-2</v>
      </c>
      <c r="AD129" s="1">
        <f t="shared" si="44"/>
        <v>2.8577032373143681E-4</v>
      </c>
      <c r="AE129" s="1">
        <f t="shared" si="33"/>
        <v>1.6535294966140625E-4</v>
      </c>
      <c r="AF129" s="1">
        <f t="shared" si="45"/>
        <v>2.0168518066867883E-4</v>
      </c>
      <c r="AG129" s="1">
        <f t="shared" si="34"/>
        <v>1.1669944972278104E-4</v>
      </c>
      <c r="AH129" s="1">
        <f t="shared" si="46"/>
        <v>3.4811711311936267E-4</v>
      </c>
      <c r="AI129" s="1">
        <f t="shared" si="35"/>
        <v>2.0142816346457382E-4</v>
      </c>
      <c r="AJ129" s="1">
        <f t="shared" si="47"/>
        <v>2.2050715522799259E-4</v>
      </c>
      <c r="AK129" s="1">
        <f t="shared" si="36"/>
        <v>1.2759025521719391E-4</v>
      </c>
      <c r="AL129" s="1">
        <f t="shared" si="48"/>
        <v>2.670591348100681E-4</v>
      </c>
      <c r="AM129" s="1">
        <f t="shared" si="49"/>
        <v>1.5411053932481219E-4</v>
      </c>
      <c r="AN129" s="1">
        <f t="shared" si="50"/>
        <v>3.5871449836420542E-4</v>
      </c>
      <c r="AO129" s="1">
        <f t="shared" si="51"/>
        <v>2.8875624895830496E-4</v>
      </c>
      <c r="AP129" s="1">
        <f t="shared" si="52"/>
        <v>3.1919638043665435E-4</v>
      </c>
    </row>
    <row r="130" spans="2:42" x14ac:dyDescent="0.3">
      <c r="B130" s="1">
        <v>0.90650053851322288</v>
      </c>
      <c r="C130" s="1"/>
      <c r="D130" s="4"/>
      <c r="E130" s="1"/>
      <c r="G130" s="4"/>
      <c r="H130" s="4"/>
      <c r="I130" s="1">
        <f t="shared" si="37"/>
        <v>5.2465229678974286</v>
      </c>
      <c r="M130" s="1">
        <f t="shared" si="28"/>
        <v>0.67676588684321537</v>
      </c>
      <c r="N130" s="1">
        <f t="shared" si="29"/>
        <v>1.4882562112695032</v>
      </c>
      <c r="O130" s="1">
        <f t="shared" si="30"/>
        <v>0.96963158028202567</v>
      </c>
      <c r="P130" s="1">
        <f t="shared" si="31"/>
        <v>1.2279128627322216</v>
      </c>
      <c r="R130" s="21">
        <f t="shared" si="38"/>
        <v>0.67676588684321537</v>
      </c>
      <c r="S130" s="21">
        <f t="shared" si="39"/>
        <v>1.4882562112695032</v>
      </c>
      <c r="T130" s="21">
        <f t="shared" si="40"/>
        <v>0.96963158028202567</v>
      </c>
      <c r="U130" s="21">
        <f t="shared" si="41"/>
        <v>1.2279128627322216</v>
      </c>
      <c r="Y130" s="21">
        <f t="shared" si="42"/>
        <v>5.2254108936430503</v>
      </c>
      <c r="Z130" s="21">
        <f t="shared" si="43"/>
        <v>5.2254108936430503</v>
      </c>
      <c r="AB130" s="21">
        <f t="shared" si="32"/>
        <v>2.1112074254378221E-2</v>
      </c>
      <c r="AD130" s="1">
        <f t="shared" si="44"/>
        <v>-2.2148301255841741E-4</v>
      </c>
      <c r="AE130" s="1">
        <f t="shared" si="33"/>
        <v>-2.0077447015573628E-4</v>
      </c>
      <c r="AF130" s="1">
        <f t="shared" si="45"/>
        <v>-1.5631378660881459E-4</v>
      </c>
      <c r="AG130" s="1">
        <f t="shared" si="34"/>
        <v>-1.4169853173793143E-4</v>
      </c>
      <c r="AH130" s="1">
        <f t="shared" si="46"/>
        <v>-2.698041767600588E-4</v>
      </c>
      <c r="AI130" s="1">
        <f t="shared" si="35"/>
        <v>-2.4457763152611005E-4</v>
      </c>
      <c r="AJ130" s="1">
        <f t="shared" si="47"/>
        <v>-1.7090154216460991E-4</v>
      </c>
      <c r="AK130" s="1">
        <f t="shared" si="36"/>
        <v>-1.5492234000495916E-4</v>
      </c>
      <c r="AL130" s="1">
        <f t="shared" si="48"/>
        <v>-2.0698112014096295E-4</v>
      </c>
      <c r="AM130" s="1">
        <f t="shared" si="49"/>
        <v>-1.400777613320009E-4</v>
      </c>
      <c r="AN130" s="1">
        <f t="shared" si="50"/>
        <v>-3.0804093766530736E-4</v>
      </c>
      <c r="AO130" s="1">
        <f t="shared" si="51"/>
        <v>-2.0069543061082573E-4</v>
      </c>
      <c r="AP130" s="1">
        <f t="shared" si="52"/>
        <v>-2.5415477976381171E-4</v>
      </c>
    </row>
    <row r="131" spans="2:42" x14ac:dyDescent="0.3">
      <c r="B131" s="1">
        <v>1.1449782575998269E-2</v>
      </c>
      <c r="C131" s="1"/>
      <c r="D131" s="4"/>
      <c r="E131" s="1"/>
      <c r="G131" s="4"/>
      <c r="H131" s="4"/>
      <c r="I131" s="1">
        <f t="shared" si="37"/>
        <v>5.0000393292563112</v>
      </c>
      <c r="M131" s="1">
        <f t="shared" si="28"/>
        <v>0.40460074272439311</v>
      </c>
      <c r="N131" s="1">
        <f t="shared" si="29"/>
        <v>1.0922852912672545</v>
      </c>
      <c r="O131" s="1">
        <f t="shared" si="30"/>
        <v>1.2743153625323149</v>
      </c>
      <c r="P131" s="1">
        <f t="shared" si="31"/>
        <v>1.1386871888687877</v>
      </c>
      <c r="R131" s="21">
        <f t="shared" si="38"/>
        <v>0.40460074272439311</v>
      </c>
      <c r="S131" s="21">
        <f t="shared" si="39"/>
        <v>1.0922852912672545</v>
      </c>
      <c r="T131" s="21">
        <f t="shared" si="40"/>
        <v>1.2743153625323149</v>
      </c>
      <c r="U131" s="21">
        <f t="shared" si="41"/>
        <v>1.1386871888687877</v>
      </c>
      <c r="Y131" s="21">
        <f t="shared" si="42"/>
        <v>4.9586256037117264</v>
      </c>
      <c r="Z131" s="21">
        <f t="shared" si="43"/>
        <v>4.9586256037117264</v>
      </c>
      <c r="AB131" s="21">
        <f t="shared" si="32"/>
        <v>4.1413725544584779E-2</v>
      </c>
      <c r="AD131" s="1">
        <f t="shared" si="44"/>
        <v>-4.3446402207400074E-4</v>
      </c>
      <c r="AE131" s="1">
        <f t="shared" si="33"/>
        <v>-4.9745185898410207E-6</v>
      </c>
      <c r="AF131" s="1">
        <f t="shared" si="45"/>
        <v>-3.0662720201970475E-4</v>
      </c>
      <c r="AG131" s="1">
        <f t="shared" si="34"/>
        <v>-3.5108147950123166E-6</v>
      </c>
      <c r="AH131" s="1">
        <f t="shared" si="46"/>
        <v>-5.292514602067836E-4</v>
      </c>
      <c r="AI131" s="1">
        <f t="shared" si="35"/>
        <v>-6.0598141473972717E-6</v>
      </c>
      <c r="AJ131" s="1">
        <f t="shared" si="47"/>
        <v>-3.3524273726366193E-4</v>
      </c>
      <c r="AK131" s="1">
        <f t="shared" si="36"/>
        <v>-3.838456451851442E-6</v>
      </c>
      <c r="AL131" s="1">
        <f t="shared" si="48"/>
        <v>-4.0601691710377236E-4</v>
      </c>
      <c r="AM131" s="1">
        <f t="shared" si="49"/>
        <v>-1.6427474621885465E-4</v>
      </c>
      <c r="AN131" s="1">
        <f t="shared" si="50"/>
        <v>-4.4348630655812669E-4</v>
      </c>
      <c r="AO131" s="1">
        <f t="shared" si="51"/>
        <v>-5.1739359491334656E-4</v>
      </c>
      <c r="AP131" s="1">
        <f t="shared" si="52"/>
        <v>-4.6232626197006618E-4</v>
      </c>
    </row>
    <row r="132" spans="2:42" x14ac:dyDescent="0.3">
      <c r="B132" s="1">
        <v>0.71836761053611597</v>
      </c>
      <c r="C132" s="1"/>
      <c r="D132" s="4"/>
      <c r="E132" s="1"/>
      <c r="G132" s="4"/>
      <c r="H132" s="4"/>
      <c r="I132" s="1">
        <f t="shared" si="37"/>
        <v>5.1548156071602103</v>
      </c>
      <c r="M132" s="1">
        <f t="shared" si="28"/>
        <v>0.61955882331443313</v>
      </c>
      <c r="N132" s="1">
        <f t="shared" si="29"/>
        <v>1.405026106071942</v>
      </c>
      <c r="O132" s="1">
        <f t="shared" si="30"/>
        <v>1.0336738166375095</v>
      </c>
      <c r="P132" s="1">
        <f t="shared" si="31"/>
        <v>1.2091582980739515</v>
      </c>
      <c r="R132" s="21">
        <f t="shared" si="38"/>
        <v>0.61955882331443313</v>
      </c>
      <c r="S132" s="21">
        <f t="shared" si="39"/>
        <v>1.405026106071942</v>
      </c>
      <c r="T132" s="21">
        <f t="shared" si="40"/>
        <v>1.0336738166375095</v>
      </c>
      <c r="U132" s="21">
        <f t="shared" si="41"/>
        <v>1.2091582980739515</v>
      </c>
      <c r="Y132" s="21">
        <f t="shared" si="42"/>
        <v>5.1693346349470328</v>
      </c>
      <c r="Z132" s="21">
        <f t="shared" si="43"/>
        <v>5.1693346349470328</v>
      </c>
      <c r="AB132" s="21">
        <f t="shared" si="32"/>
        <v>-1.4519027786822569E-2</v>
      </c>
      <c r="AD132" s="1">
        <f t="shared" si="44"/>
        <v>1.5231653578415955E-4</v>
      </c>
      <c r="AE132" s="1">
        <f t="shared" si="33"/>
        <v>1.094192658564055E-4</v>
      </c>
      <c r="AF132" s="1">
        <f t="shared" si="45"/>
        <v>1.0749887405147689E-4</v>
      </c>
      <c r="AG132" s="1">
        <f t="shared" si="34"/>
        <v>7.7223709287682328E-5</v>
      </c>
      <c r="AH132" s="1">
        <f t="shared" si="46"/>
        <v>1.855475824961971E-4</v>
      </c>
      <c r="AI132" s="1">
        <f t="shared" si="35"/>
        <v>1.3329137347854598E-4</v>
      </c>
      <c r="AJ132" s="1">
        <f t="shared" si="47"/>
        <v>1.1753104927547435E-4</v>
      </c>
      <c r="AK132" s="1">
        <f t="shared" si="36"/>
        <v>8.4430499031825008E-5</v>
      </c>
      <c r="AL132" s="1">
        <f t="shared" si="48"/>
        <v>1.4234340967473106E-4</v>
      </c>
      <c r="AM132" s="1">
        <f t="shared" si="49"/>
        <v>8.8190115404640672E-5</v>
      </c>
      <c r="AN132" s="1">
        <f t="shared" si="50"/>
        <v>1.9999620662029057E-4</v>
      </c>
      <c r="AO132" s="1">
        <f t="shared" si="51"/>
        <v>1.4713665555167585E-4</v>
      </c>
      <c r="AP132" s="1">
        <f t="shared" si="52"/>
        <v>1.7211571498434105E-4</v>
      </c>
    </row>
    <row r="133" spans="2:42" x14ac:dyDescent="0.3">
      <c r="B133" s="1">
        <v>0.39156677594355283</v>
      </c>
      <c r="C133" s="1"/>
      <c r="D133" s="4"/>
      <c r="E133" s="1"/>
      <c r="G133" s="4"/>
      <c r="H133" s="4"/>
      <c r="I133" s="1">
        <f t="shared" si="37"/>
        <v>5.0459973620068483</v>
      </c>
      <c r="M133" s="1">
        <f t="shared" ref="M133:M196" si="53">+$K$7+$K$9*B133</f>
        <v>0.52018591551558813</v>
      </c>
      <c r="N133" s="1">
        <f t="shared" ref="N133:N196" si="54">+$K$15+$K$17*B133</f>
        <v>1.2604492468572723</v>
      </c>
      <c r="O133" s="1">
        <f t="shared" ref="O133:O196" si="55">+$K$23+$K$25*B133</f>
        <v>1.1449199260516632</v>
      </c>
      <c r="P133" s="1">
        <f t="shared" ref="P133:P196" si="56">+$K$31+$K$33*B133</f>
        <v>1.1765802297440486</v>
      </c>
      <c r="R133" s="21">
        <f t="shared" si="38"/>
        <v>0.52018591551558813</v>
      </c>
      <c r="S133" s="21">
        <f t="shared" si="39"/>
        <v>1.2604492468572723</v>
      </c>
      <c r="T133" s="21">
        <f t="shared" si="40"/>
        <v>1.1449199260516632</v>
      </c>
      <c r="U133" s="21">
        <f t="shared" si="41"/>
        <v>1.1765802297440486</v>
      </c>
      <c r="Y133" s="21">
        <f t="shared" si="42"/>
        <v>5.0719260189235982</v>
      </c>
      <c r="Z133" s="21">
        <f t="shared" si="43"/>
        <v>5.0719260189235982</v>
      </c>
      <c r="AB133" s="21">
        <f t="shared" ref="AB133:AB196" si="57">+I133-Z133</f>
        <v>-2.5928656916749837E-2</v>
      </c>
      <c r="AD133" s="1">
        <f t="shared" si="44"/>
        <v>2.720129238047023E-4</v>
      </c>
      <c r="AE133" s="1">
        <f t="shared" ref="AE133:AE196" si="58">+(2/$AT$5)*(-1)*($AB133)*($W$9)*($B133)</f>
        <v>1.0651122358918658E-4</v>
      </c>
      <c r="AF133" s="1">
        <f t="shared" si="45"/>
        <v>1.9197576209251373E-4</v>
      </c>
      <c r="AG133" s="1">
        <f t="shared" ref="AG133:AG196" si="59">+(2/$AT$5)*(-1)*($AB133)*($W$11)*($B133)</f>
        <v>7.517133022187212E-5</v>
      </c>
      <c r="AH133" s="1">
        <f t="shared" si="46"/>
        <v>3.3135824787405409E-4</v>
      </c>
      <c r="AI133" s="1">
        <f t="shared" ref="AI133:AI196" si="60">+(2/$AT$5)*(-1)*($AB133)*($W$13)*($B133)</f>
        <v>1.2974888080234797E-4</v>
      </c>
      <c r="AJ133" s="1">
        <f t="shared" si="47"/>
        <v>2.0989161936140285E-4</v>
      </c>
      <c r="AK133" s="1">
        <f t="shared" ref="AK133:AK196" si="61">+(2/$AT$5)*(-1)*($AB133)*($W$15)*($B133)</f>
        <v>8.2186584690915898E-5</v>
      </c>
      <c r="AL133" s="1">
        <f t="shared" si="48"/>
        <v>2.5420251879166504E-4</v>
      </c>
      <c r="AM133" s="1">
        <f t="shared" si="49"/>
        <v>1.3223256996401078E-4</v>
      </c>
      <c r="AN133" s="1">
        <f t="shared" si="50"/>
        <v>3.204093733601758E-4</v>
      </c>
      <c r="AO133" s="1">
        <f t="shared" si="51"/>
        <v>2.9104152901709962E-4</v>
      </c>
      <c r="AP133" s="1">
        <f t="shared" si="52"/>
        <v>2.990896579614131E-4</v>
      </c>
    </row>
    <row r="134" spans="2:42" x14ac:dyDescent="0.3">
      <c r="B134" s="1">
        <v>0.71299619186074903</v>
      </c>
      <c r="C134" s="1"/>
      <c r="D134" s="4"/>
      <c r="E134" s="1"/>
      <c r="G134" s="4"/>
      <c r="H134" s="4"/>
      <c r="I134" s="1">
        <f t="shared" ref="I134:I197" si="62">+B134*B134*$G$10+$G$8</f>
        <v>5.1525090708823793</v>
      </c>
      <c r="M134" s="1">
        <f t="shared" si="53"/>
        <v>0.61792549366445926</v>
      </c>
      <c r="N134" s="1">
        <f t="shared" si="54"/>
        <v>1.4026497876559265</v>
      </c>
      <c r="O134" s="1">
        <f t="shared" si="55"/>
        <v>1.0355022985947668</v>
      </c>
      <c r="P134" s="1">
        <f t="shared" si="56"/>
        <v>1.2086228329645896</v>
      </c>
      <c r="R134" s="21">
        <f t="shared" ref="R134:R197" si="63">+IF(M134&gt;=0,M134,0)</f>
        <v>0.61792549366445926</v>
      </c>
      <c r="S134" s="21">
        <f t="shared" ref="S134:S197" si="64">+IF(N134&gt;=0,N134,0)</f>
        <v>1.4026497876559265</v>
      </c>
      <c r="T134" s="21">
        <f t="shared" ref="T134:T197" si="65">+IF(O134&gt;=0,O134,0)</f>
        <v>1.0355022985947668</v>
      </c>
      <c r="U134" s="21">
        <f t="shared" ref="U134:U197" si="66">+IF(P134&gt;=0,P134,0)</f>
        <v>1.2086228329645896</v>
      </c>
      <c r="Y134" s="21">
        <f t="shared" ref="Y134:Y197" si="67">+$W$7+$W$9*M134+$W$11*N134+$W$13*O134+P134*$W$15</f>
        <v>5.1677335911189104</v>
      </c>
      <c r="Z134" s="21">
        <f t="shared" ref="Z134:Z197" si="68">+IF(Y134&gt;=0,Y134,0)</f>
        <v>5.1677335911189104</v>
      </c>
      <c r="AB134" s="21">
        <f t="shared" si="57"/>
        <v>-1.5224520236531092E-2</v>
      </c>
      <c r="AD134" s="1">
        <f t="shared" ref="AD134:AD197" si="69">+(2/$AT$5)*(-1)*($AB134)*$W$9</f>
        <v>1.5971773147985287E-4</v>
      </c>
      <c r="AE134" s="1">
        <f t="shared" si="58"/>
        <v>1.1387813431777277E-4</v>
      </c>
      <c r="AF134" s="1">
        <f t="shared" ref="AF134:AF197" si="70">+(2/$AT$5)*(-1)*($AB134)*$W$11</f>
        <v>1.1272233977583596E-4</v>
      </c>
      <c r="AG134" s="1">
        <f t="shared" si="59"/>
        <v>8.0370598997804474E-5</v>
      </c>
      <c r="AH134" s="1">
        <f t="shared" ref="AH134:AH197" si="71">+(2/$AT$5)*(-1)*($AB134)*$W$13</f>
        <v>1.9456350425313068E-4</v>
      </c>
      <c r="AI134" s="1">
        <f t="shared" si="60"/>
        <v>1.3872303760756481E-4</v>
      </c>
      <c r="AJ134" s="1">
        <f t="shared" ref="AJ134:AJ197" si="72">+(2/$AT$5)*(-1)*($AB134)*$W$15</f>
        <v>1.2324198730022441E-4</v>
      </c>
      <c r="AK134" s="1">
        <f t="shared" si="61"/>
        <v>8.7871067622410804E-5</v>
      </c>
      <c r="AL134" s="1">
        <f t="shared" ref="AL134:AL197" si="73">+(2/$AT$5)*(-1)*($AB134)</f>
        <v>1.4926000231893228E-4</v>
      </c>
      <c r="AM134" s="1">
        <f t="shared" ref="AM134:AM197" si="74">+(2/$AT$5)*(-1)*($AB134)*R134</f>
        <v>9.2231560617284561E-5</v>
      </c>
      <c r="AN134" s="1">
        <f t="shared" ref="AN134:AN197" si="75">+(2/$AT$5)*(-1)*($AB134)*S134</f>
        <v>2.0935951055817346E-4</v>
      </c>
      <c r="AO134" s="1">
        <f t="shared" ref="AO134:AO197" si="76">+(2/$AT$5)*(-1)*($AB134)*T134</f>
        <v>1.5455907548951462E-4</v>
      </c>
      <c r="AP134" s="1">
        <f t="shared" ref="AP134:AP197" si="77">+(2/$AT$5)*(-1)*($AB134)*U134</f>
        <v>1.8039904685100916E-4</v>
      </c>
    </row>
    <row r="135" spans="2:42" x14ac:dyDescent="0.3">
      <c r="B135" s="1">
        <v>0.31125393204598595</v>
      </c>
      <c r="C135" s="1"/>
      <c r="D135" s="4"/>
      <c r="E135" s="1"/>
      <c r="G135" s="4"/>
      <c r="H135" s="4"/>
      <c r="I135" s="1">
        <f t="shared" si="62"/>
        <v>5.0290637030642262</v>
      </c>
      <c r="M135" s="1">
        <f t="shared" si="53"/>
        <v>0.49576455551004811</v>
      </c>
      <c r="N135" s="1">
        <f t="shared" si="54"/>
        <v>1.2249188029409197</v>
      </c>
      <c r="O135" s="1">
        <f t="shared" si="55"/>
        <v>1.1722591812611229</v>
      </c>
      <c r="P135" s="1">
        <f t="shared" si="56"/>
        <v>1.1685740160526858</v>
      </c>
      <c r="R135" s="21">
        <f t="shared" si="63"/>
        <v>0.49576455551004811</v>
      </c>
      <c r="S135" s="21">
        <f t="shared" si="64"/>
        <v>1.2249188029409197</v>
      </c>
      <c r="T135" s="21">
        <f t="shared" si="65"/>
        <v>1.1722591812611229</v>
      </c>
      <c r="U135" s="21">
        <f t="shared" si="66"/>
        <v>1.1685740160526858</v>
      </c>
      <c r="Y135" s="21">
        <f t="shared" si="67"/>
        <v>5.0479873928710601</v>
      </c>
      <c r="Z135" s="21">
        <f t="shared" si="68"/>
        <v>5.0479873928710601</v>
      </c>
      <c r="AB135" s="21">
        <f t="shared" si="57"/>
        <v>-1.8923689806833899E-2</v>
      </c>
      <c r="AD135" s="1">
        <f t="shared" si="69"/>
        <v>1.9852506090297598E-4</v>
      </c>
      <c r="AE135" s="1">
        <f t="shared" si="58"/>
        <v>6.1791705815720111E-5</v>
      </c>
      <c r="AF135" s="1">
        <f t="shared" si="70"/>
        <v>1.4011098931709169E-4</v>
      </c>
      <c r="AG135" s="1">
        <f t="shared" si="59"/>
        <v>4.3610096347797922E-5</v>
      </c>
      <c r="AH135" s="1">
        <f t="shared" si="71"/>
        <v>2.4183746646953551E-4</v>
      </c>
      <c r="AI135" s="1">
        <f t="shared" si="60"/>
        <v>7.5272862354682204E-5</v>
      </c>
      <c r="AJ135" s="1">
        <f t="shared" si="72"/>
        <v>1.5318664250917635E-4</v>
      </c>
      <c r="AK135" s="1">
        <f t="shared" si="61"/>
        <v>4.7679944817903916E-5</v>
      </c>
      <c r="AL135" s="1">
        <f t="shared" si="73"/>
        <v>1.855263706552343E-4</v>
      </c>
      <c r="AM135" s="1">
        <f t="shared" si="74"/>
        <v>9.1977398683284673E-5</v>
      </c>
      <c r="AN135" s="1">
        <f t="shared" si="75"/>
        <v>2.2725473985698297E-4</v>
      </c>
      <c r="AO135" s="1">
        <f t="shared" si="76"/>
        <v>2.1748499136665258E-4</v>
      </c>
      <c r="AP135" s="1">
        <f t="shared" si="77"/>
        <v>2.168012960402663E-4</v>
      </c>
    </row>
    <row r="136" spans="2:42" x14ac:dyDescent="0.3">
      <c r="B136" s="1">
        <v>0.21485621606785399</v>
      </c>
      <c r="C136" s="1"/>
      <c r="D136" s="4"/>
      <c r="E136" s="1"/>
      <c r="G136" s="4"/>
      <c r="H136" s="4"/>
      <c r="I136" s="1">
        <f t="shared" si="62"/>
        <v>5.0138489580748988</v>
      </c>
      <c r="M136" s="1">
        <f t="shared" si="53"/>
        <v>0.46645214156270581</v>
      </c>
      <c r="N136" s="1">
        <f t="shared" si="54"/>
        <v>1.1822724032493099</v>
      </c>
      <c r="O136" s="1">
        <f t="shared" si="55"/>
        <v>1.2050738797680827</v>
      </c>
      <c r="P136" s="1">
        <f t="shared" si="56"/>
        <v>1.1589643362552109</v>
      </c>
      <c r="R136" s="21">
        <f t="shared" si="63"/>
        <v>0.46645214156270581</v>
      </c>
      <c r="S136" s="21">
        <f t="shared" si="64"/>
        <v>1.1822724032493099</v>
      </c>
      <c r="T136" s="21">
        <f t="shared" si="65"/>
        <v>1.2050738797680827</v>
      </c>
      <c r="U136" s="21">
        <f t="shared" si="66"/>
        <v>1.1589643362552109</v>
      </c>
      <c r="Y136" s="21">
        <f t="shared" si="67"/>
        <v>5.0192543937250909</v>
      </c>
      <c r="Z136" s="21">
        <f t="shared" si="68"/>
        <v>5.0192543937250909</v>
      </c>
      <c r="AB136" s="21">
        <f t="shared" si="57"/>
        <v>-5.4054356501920253E-3</v>
      </c>
      <c r="AD136" s="1">
        <f t="shared" si="69"/>
        <v>5.6707463111869245E-5</v>
      </c>
      <c r="AE136" s="1">
        <f t="shared" si="58"/>
        <v>1.2183950947023639E-5</v>
      </c>
      <c r="AF136" s="1">
        <f t="shared" si="70"/>
        <v>4.0021842693953702E-5</v>
      </c>
      <c r="AG136" s="1">
        <f t="shared" si="59"/>
        <v>8.5989416812857794E-6</v>
      </c>
      <c r="AH136" s="1">
        <f t="shared" si="71"/>
        <v>6.9079385476634913E-5</v>
      </c>
      <c r="AI136" s="1">
        <f t="shared" si="60"/>
        <v>1.4842135371802446E-5</v>
      </c>
      <c r="AJ136" s="1">
        <f t="shared" si="72"/>
        <v>4.3756822638959833E-5</v>
      </c>
      <c r="AK136" s="1">
        <f t="shared" si="61"/>
        <v>9.4014253393591183E-6</v>
      </c>
      <c r="AL136" s="1">
        <f t="shared" si="73"/>
        <v>5.2994467158745343E-5</v>
      </c>
      <c r="AM136" s="1">
        <f t="shared" si="74"/>
        <v>2.4719382697171247E-5</v>
      </c>
      <c r="AN136" s="1">
        <f t="shared" si="75"/>
        <v>6.2653896046686487E-5</v>
      </c>
      <c r="AO136" s="1">
        <f t="shared" si="76"/>
        <v>6.3862248145231488E-5</v>
      </c>
      <c r="AP136" s="1">
        <f t="shared" si="77"/>
        <v>6.1418697455833864E-5</v>
      </c>
    </row>
    <row r="137" spans="2:42" x14ac:dyDescent="0.3">
      <c r="B137" s="1">
        <v>0.4385774602574628</v>
      </c>
      <c r="C137" s="1"/>
      <c r="D137" s="4"/>
      <c r="E137" s="1"/>
      <c r="G137" s="4"/>
      <c r="H137" s="4"/>
      <c r="I137" s="1">
        <f t="shared" si="62"/>
        <v>5.0577050565937656</v>
      </c>
      <c r="M137" s="1">
        <f t="shared" si="53"/>
        <v>0.53448082514674333</v>
      </c>
      <c r="N137" s="1">
        <f t="shared" si="54"/>
        <v>1.2812467980511397</v>
      </c>
      <c r="O137" s="1">
        <f t="shared" si="55"/>
        <v>1.1289170424074411</v>
      </c>
      <c r="P137" s="1">
        <f t="shared" si="56"/>
        <v>1.1812666231791311</v>
      </c>
      <c r="R137" s="21">
        <f t="shared" si="63"/>
        <v>0.53448082514674333</v>
      </c>
      <c r="S137" s="21">
        <f t="shared" si="64"/>
        <v>1.2812467980511397</v>
      </c>
      <c r="T137" s="21">
        <f t="shared" si="65"/>
        <v>1.1289170424074411</v>
      </c>
      <c r="U137" s="21">
        <f t="shared" si="66"/>
        <v>1.1812666231791311</v>
      </c>
      <c r="Y137" s="21">
        <f t="shared" si="67"/>
        <v>5.0859383628732138</v>
      </c>
      <c r="Z137" s="21">
        <f t="shared" si="68"/>
        <v>5.0859383628732138</v>
      </c>
      <c r="AB137" s="21">
        <f t="shared" si="57"/>
        <v>-2.82333062794482E-2</v>
      </c>
      <c r="AD137" s="1">
        <f t="shared" si="69"/>
        <v>2.9619058998714366E-4</v>
      </c>
      <c r="AE137" s="1">
        <f t="shared" si="58"/>
        <v>1.2990251670872097E-4</v>
      </c>
      <c r="AF137" s="1">
        <f t="shared" si="70"/>
        <v>2.0903938475452029E-4</v>
      </c>
      <c r="AG137" s="1">
        <f t="shared" si="59"/>
        <v>9.1679962459420106E-5</v>
      </c>
      <c r="AH137" s="1">
        <f t="shared" si="71"/>
        <v>3.6081077899588254E-4</v>
      </c>
      <c r="AI137" s="1">
        <f t="shared" si="60"/>
        <v>1.5824347508553086E-4</v>
      </c>
      <c r="AJ137" s="1">
        <f t="shared" si="72"/>
        <v>2.2854767965600683E-4</v>
      </c>
      <c r="AK137" s="1">
        <f t="shared" si="61"/>
        <v>1.0023586089126768E-4</v>
      </c>
      <c r="AL137" s="1">
        <f t="shared" si="73"/>
        <v>2.7679712038674708E-4</v>
      </c>
      <c r="AM137" s="1">
        <f t="shared" si="74"/>
        <v>1.4794275330255103E-4</v>
      </c>
      <c r="AN137" s="1">
        <f t="shared" si="75"/>
        <v>3.5464542420529557E-4</v>
      </c>
      <c r="AO137" s="1">
        <f t="shared" si="76"/>
        <v>3.1248098649390291E-4</v>
      </c>
      <c r="AP137" s="1">
        <f t="shared" si="77"/>
        <v>3.2697119970496015E-4</v>
      </c>
    </row>
    <row r="138" spans="2:42" x14ac:dyDescent="0.3">
      <c r="B138" s="1">
        <v>0.15652094171379793</v>
      </c>
      <c r="C138" s="1"/>
      <c r="D138" s="4"/>
      <c r="E138" s="1"/>
      <c r="G138" s="4"/>
      <c r="H138" s="4"/>
      <c r="I138" s="1">
        <f t="shared" si="62"/>
        <v>5.0073496415584922</v>
      </c>
      <c r="M138" s="1">
        <f t="shared" si="53"/>
        <v>0.44871367450207772</v>
      </c>
      <c r="N138" s="1">
        <f t="shared" si="54"/>
        <v>1.1564648475310069</v>
      </c>
      <c r="O138" s="1">
        <f t="shared" si="55"/>
        <v>1.2249317614702111</v>
      </c>
      <c r="P138" s="1">
        <f t="shared" si="56"/>
        <v>1.1531490189341294</v>
      </c>
      <c r="R138" s="21">
        <f t="shared" si="63"/>
        <v>0.44871367450207772</v>
      </c>
      <c r="S138" s="21">
        <f t="shared" si="64"/>
        <v>1.1564648475310069</v>
      </c>
      <c r="T138" s="21">
        <f t="shared" si="65"/>
        <v>1.2249317614702111</v>
      </c>
      <c r="U138" s="21">
        <f t="shared" si="66"/>
        <v>1.1531490189341294</v>
      </c>
      <c r="Y138" s="21">
        <f t="shared" si="67"/>
        <v>5.0018665607127897</v>
      </c>
      <c r="Z138" s="21">
        <f t="shared" si="68"/>
        <v>5.0018665607127897</v>
      </c>
      <c r="AB138" s="21">
        <f t="shared" si="57"/>
        <v>5.4830808457024816E-3</v>
      </c>
      <c r="AD138" s="1">
        <f t="shared" si="69"/>
        <v>-5.7522025035303972E-5</v>
      </c>
      <c r="AE138" s="1">
        <f t="shared" si="58"/>
        <v>-9.0034015278104379E-6</v>
      </c>
      <c r="AF138" s="1">
        <f t="shared" si="70"/>
        <v>-4.0596727680430299E-5</v>
      </c>
      <c r="AG138" s="1">
        <f t="shared" si="59"/>
        <v>-6.3542380470395578E-6</v>
      </c>
      <c r="AH138" s="1">
        <f t="shared" si="71"/>
        <v>-7.0071661166918063E-5</v>
      </c>
      <c r="AI138" s="1">
        <f t="shared" si="60"/>
        <v>-1.096768239329618E-5</v>
      </c>
      <c r="AJ138" s="1">
        <f t="shared" si="72"/>
        <v>-4.4385357926138343E-5</v>
      </c>
      <c r="AK138" s="1">
        <f t="shared" si="61"/>
        <v>-6.9472380209031586E-6</v>
      </c>
      <c r="AL138" s="1">
        <f t="shared" si="73"/>
        <v>-5.3755694565710599E-5</v>
      </c>
      <c r="AM138" s="1">
        <f t="shared" si="74"/>
        <v>-2.4120915233991374E-5</v>
      </c>
      <c r="AN138" s="1">
        <f t="shared" si="75"/>
        <v>-6.2166571119857882E-5</v>
      </c>
      <c r="AO138" s="1">
        <f t="shared" si="76"/>
        <v>-6.5847057633430534E-5</v>
      </c>
      <c r="AP138" s="1">
        <f t="shared" si="77"/>
        <v>-6.1988326450571887E-5</v>
      </c>
    </row>
    <row r="139" spans="2:42" x14ac:dyDescent="0.3">
      <c r="B139" s="1">
        <v>0.9789091938678407</v>
      </c>
      <c r="C139" s="1"/>
      <c r="D139" s="4"/>
      <c r="E139" s="1"/>
      <c r="G139" s="4"/>
      <c r="H139" s="4"/>
      <c r="I139" s="1">
        <f t="shared" si="62"/>
        <v>5.2874789629516954</v>
      </c>
      <c r="M139" s="1">
        <f t="shared" si="53"/>
        <v>0.6987837578849575</v>
      </c>
      <c r="N139" s="1">
        <f t="shared" si="54"/>
        <v>1.5202898380629593</v>
      </c>
      <c r="O139" s="1">
        <f t="shared" si="55"/>
        <v>0.94498298595957153</v>
      </c>
      <c r="P139" s="1">
        <f t="shared" si="56"/>
        <v>1.2351311249645078</v>
      </c>
      <c r="R139" s="21">
        <f t="shared" si="63"/>
        <v>0.6987837578849575</v>
      </c>
      <c r="S139" s="21">
        <f t="shared" si="64"/>
        <v>1.5202898380629593</v>
      </c>
      <c r="T139" s="21">
        <f t="shared" si="65"/>
        <v>0.94498298595957153</v>
      </c>
      <c r="U139" s="21">
        <f t="shared" si="66"/>
        <v>1.2351311249645078</v>
      </c>
      <c r="Y139" s="21">
        <f t="shared" si="67"/>
        <v>5.2469935401959731</v>
      </c>
      <c r="Z139" s="21">
        <f t="shared" si="68"/>
        <v>5.2469935401959731</v>
      </c>
      <c r="AB139" s="21">
        <f t="shared" si="57"/>
        <v>4.0485422755722311E-2</v>
      </c>
      <c r="AD139" s="1">
        <f t="shared" si="69"/>
        <v>-4.2472536277570833E-4</v>
      </c>
      <c r="AE139" s="1">
        <f t="shared" si="58"/>
        <v>-4.1576756248999484E-4</v>
      </c>
      <c r="AF139" s="1">
        <f t="shared" si="70"/>
        <v>-2.99754048662141E-4</v>
      </c>
      <c r="AG139" s="1">
        <f t="shared" si="59"/>
        <v>-2.9343199413447795E-4</v>
      </c>
      <c r="AH139" s="1">
        <f t="shared" si="71"/>
        <v>-5.1738810814031552E-4</v>
      </c>
      <c r="AI139" s="1">
        <f t="shared" si="60"/>
        <v>-5.0647597585644344E-4</v>
      </c>
      <c r="AJ139" s="1">
        <f t="shared" si="72"/>
        <v>-3.2772815691969577E-4</v>
      </c>
      <c r="AK139" s="1">
        <f t="shared" si="61"/>
        <v>-3.2081610589805261E-4</v>
      </c>
      <c r="AL139" s="1">
        <f t="shared" si="73"/>
        <v>-3.9691590936982658E-4</v>
      </c>
      <c r="AM139" s="1">
        <f t="shared" si="74"/>
        <v>-2.7735839071377265E-4</v>
      </c>
      <c r="AN139" s="1">
        <f t="shared" si="75"/>
        <v>-6.034272235804659E-4</v>
      </c>
      <c r="AO139" s="1">
        <f t="shared" si="76"/>
        <v>-3.7507878121115738E-4</v>
      </c>
      <c r="AP139" s="1">
        <f t="shared" si="77"/>
        <v>-4.9024319365626454E-4</v>
      </c>
    </row>
    <row r="140" spans="2:42" x14ac:dyDescent="0.3">
      <c r="B140" s="1">
        <v>0.97909238629879125</v>
      </c>
      <c r="C140" s="1"/>
      <c r="D140" s="4"/>
      <c r="E140" s="1"/>
      <c r="G140" s="4"/>
      <c r="H140" s="4"/>
      <c r="I140" s="1">
        <f t="shared" si="62"/>
        <v>5.2875865702724782</v>
      </c>
      <c r="M140" s="1">
        <f t="shared" si="53"/>
        <v>0.69883946265258146</v>
      </c>
      <c r="N140" s="1">
        <f t="shared" si="54"/>
        <v>1.5203708824897024</v>
      </c>
      <c r="O140" s="1">
        <f t="shared" si="55"/>
        <v>0.94492062551534928</v>
      </c>
      <c r="P140" s="1">
        <f t="shared" si="56"/>
        <v>1.2351493870217038</v>
      </c>
      <c r="R140" s="21">
        <f t="shared" si="63"/>
        <v>0.69883946265258146</v>
      </c>
      <c r="S140" s="21">
        <f t="shared" si="64"/>
        <v>1.5203708824897024</v>
      </c>
      <c r="T140" s="21">
        <f t="shared" si="65"/>
        <v>0.94492062551534928</v>
      </c>
      <c r="U140" s="21">
        <f t="shared" si="66"/>
        <v>1.2351493870217038</v>
      </c>
      <c r="Y140" s="21">
        <f t="shared" si="67"/>
        <v>5.2470481438544585</v>
      </c>
      <c r="Z140" s="21">
        <f t="shared" si="68"/>
        <v>5.2470481438544585</v>
      </c>
      <c r="AB140" s="21">
        <f t="shared" si="57"/>
        <v>4.0538426418019746E-2</v>
      </c>
      <c r="AD140" s="1">
        <f t="shared" si="69"/>
        <v>-4.2528141476097601E-4</v>
      </c>
      <c r="AE140" s="1">
        <f t="shared" si="58"/>
        <v>-4.1638979522685E-4</v>
      </c>
      <c r="AF140" s="1">
        <f t="shared" si="70"/>
        <v>-3.0014648774974646E-4</v>
      </c>
      <c r="AG140" s="1">
        <f t="shared" si="59"/>
        <v>-2.9387114093010018E-4</v>
      </c>
      <c r="AH140" s="1">
        <f t="shared" si="71"/>
        <v>-5.1806547452786802E-4</v>
      </c>
      <c r="AI140" s="1">
        <f t="shared" si="60"/>
        <v>-5.0723396171450594E-4</v>
      </c>
      <c r="AJ140" s="1">
        <f t="shared" si="72"/>
        <v>-3.2815721981128379E-4</v>
      </c>
      <c r="AK140" s="1">
        <f t="shared" si="61"/>
        <v>-3.2129623542620684E-4</v>
      </c>
      <c r="AL140" s="1">
        <f t="shared" si="73"/>
        <v>-3.9743555311784067E-4</v>
      </c>
      <c r="AM140" s="1">
        <f t="shared" si="74"/>
        <v>-2.7774364837990326E-4</v>
      </c>
      <c r="AN140" s="1">
        <f t="shared" si="75"/>
        <v>-6.0424944262655439E-4</v>
      </c>
      <c r="AO140" s="1">
        <f t="shared" si="76"/>
        <v>-3.755450514541488E-4</v>
      </c>
      <c r="AP140" s="1">
        <f t="shared" si="77"/>
        <v>-4.9089227981413274E-4</v>
      </c>
    </row>
    <row r="141" spans="2:42" x14ac:dyDescent="0.3">
      <c r="B141" s="1">
        <v>0.33357265132053981</v>
      </c>
      <c r="C141" s="1"/>
      <c r="D141" s="4"/>
      <c r="E141" s="1"/>
      <c r="G141" s="4"/>
      <c r="H141" s="4"/>
      <c r="I141" s="1">
        <f t="shared" si="62"/>
        <v>5.0333812141127039</v>
      </c>
      <c r="M141" s="1">
        <f t="shared" si="53"/>
        <v>0.50255118454489645</v>
      </c>
      <c r="N141" s="1">
        <f t="shared" si="54"/>
        <v>1.2347926159574374</v>
      </c>
      <c r="O141" s="1">
        <f t="shared" si="55"/>
        <v>1.16466167714368</v>
      </c>
      <c r="P141" s="1">
        <f t="shared" si="56"/>
        <v>1.1707989209017475</v>
      </c>
      <c r="R141" s="21">
        <f t="shared" si="63"/>
        <v>0.50255118454489645</v>
      </c>
      <c r="S141" s="21">
        <f t="shared" si="64"/>
        <v>1.2347926159574374</v>
      </c>
      <c r="T141" s="21">
        <f t="shared" si="65"/>
        <v>1.16466167714368</v>
      </c>
      <c r="U141" s="21">
        <f t="shared" si="66"/>
        <v>1.1707989209017475</v>
      </c>
      <c r="Y141" s="21">
        <f t="shared" si="67"/>
        <v>5.0546398714629843</v>
      </c>
      <c r="Z141" s="21">
        <f t="shared" si="68"/>
        <v>5.0546398714629843</v>
      </c>
      <c r="AB141" s="21">
        <f t="shared" si="57"/>
        <v>-2.125865735028043E-2</v>
      </c>
      <c r="AD141" s="1">
        <f t="shared" si="69"/>
        <v>2.2302078972229924E-4</v>
      </c>
      <c r="AE141" s="1">
        <f t="shared" si="58"/>
        <v>7.4393636127267958E-5</v>
      </c>
      <c r="AF141" s="1">
        <f t="shared" si="70"/>
        <v>1.57399087773316E-4</v>
      </c>
      <c r="AG141" s="1">
        <f t="shared" si="59"/>
        <v>5.2504031023979383E-5</v>
      </c>
      <c r="AH141" s="1">
        <f t="shared" si="71"/>
        <v>2.7167745226299215E-4</v>
      </c>
      <c r="AI141" s="1">
        <f t="shared" si="60"/>
        <v>9.0624168055375678E-5</v>
      </c>
      <c r="AJ141" s="1">
        <f t="shared" si="72"/>
        <v>1.720881274732399E-4</v>
      </c>
      <c r="AK141" s="1">
        <f t="shared" si="61"/>
        <v>5.740389294203566E-5</v>
      </c>
      <c r="AL141" s="1">
        <f t="shared" si="73"/>
        <v>2.0841820931647481E-4</v>
      </c>
      <c r="AM141" s="1">
        <f t="shared" si="74"/>
        <v>1.0474081797272058E-4</v>
      </c>
      <c r="AN141" s="1">
        <f t="shared" si="75"/>
        <v>2.5735326589505466E-4</v>
      </c>
      <c r="AO141" s="1">
        <f t="shared" si="76"/>
        <v>2.4273670120980809E-4</v>
      </c>
      <c r="AP141" s="1">
        <f t="shared" si="77"/>
        <v>2.4401581456400326E-4</v>
      </c>
    </row>
    <row r="142" spans="2:42" x14ac:dyDescent="0.3">
      <c r="B142" s="1">
        <v>0.25673198733160474</v>
      </c>
      <c r="C142" s="1"/>
      <c r="D142" s="4"/>
      <c r="E142" s="1"/>
      <c r="G142" s="4"/>
      <c r="H142" s="4"/>
      <c r="I142" s="1">
        <f t="shared" si="62"/>
        <v>5.0197733939957709</v>
      </c>
      <c r="M142" s="1">
        <f t="shared" si="53"/>
        <v>0.47918563767505912</v>
      </c>
      <c r="N142" s="1">
        <f t="shared" si="54"/>
        <v>1.2007982662387759</v>
      </c>
      <c r="O142" s="1">
        <f t="shared" si="55"/>
        <v>1.190818969318979</v>
      </c>
      <c r="P142" s="1">
        <f t="shared" si="56"/>
        <v>1.1631388413151464</v>
      </c>
      <c r="R142" s="21">
        <f t="shared" si="63"/>
        <v>0.47918563767505912</v>
      </c>
      <c r="S142" s="21">
        <f t="shared" si="64"/>
        <v>1.2007982662387759</v>
      </c>
      <c r="T142" s="21">
        <f t="shared" si="65"/>
        <v>1.190818969318979</v>
      </c>
      <c r="U142" s="21">
        <f t="shared" si="66"/>
        <v>1.1631388413151464</v>
      </c>
      <c r="Y142" s="21">
        <f t="shared" si="67"/>
        <v>5.0317361884206324</v>
      </c>
      <c r="Z142" s="21">
        <f t="shared" si="68"/>
        <v>5.0317361884206324</v>
      </c>
      <c r="AB142" s="21">
        <f t="shared" si="57"/>
        <v>-1.1962794424861478E-2</v>
      </c>
      <c r="AD142" s="1">
        <f t="shared" si="69"/>
        <v>1.2549954665330411E-4</v>
      </c>
      <c r="AE142" s="1">
        <f t="shared" si="58"/>
        <v>3.2219748021518212E-5</v>
      </c>
      <c r="AF142" s="1">
        <f t="shared" si="70"/>
        <v>8.8572523592044658E-5</v>
      </c>
      <c r="AG142" s="1">
        <f t="shared" si="59"/>
        <v>2.2739400004761072E-5</v>
      </c>
      <c r="AH142" s="1">
        <f t="shared" si="71"/>
        <v>1.5287990477203965E-4</v>
      </c>
      <c r="AI142" s="1">
        <f t="shared" si="60"/>
        <v>3.9249161775192224E-5</v>
      </c>
      <c r="AJ142" s="1">
        <f t="shared" si="72"/>
        <v>9.6838424835638508E-5</v>
      </c>
      <c r="AK142" s="1">
        <f t="shared" si="61"/>
        <v>2.4861521258115703E-5</v>
      </c>
      <c r="AL142" s="1">
        <f t="shared" si="73"/>
        <v>1.1728229828295566E-4</v>
      </c>
      <c r="AM142" s="1">
        <f t="shared" si="74"/>
        <v>5.6199992890714601E-5</v>
      </c>
      <c r="AN142" s="1">
        <f t="shared" si="75"/>
        <v>1.4083238043867212E-4</v>
      </c>
      <c r="AO142" s="1">
        <f t="shared" si="76"/>
        <v>1.3966198556067031E-4</v>
      </c>
      <c r="AP142" s="1">
        <f t="shared" si="77"/>
        <v>1.3641559653161444E-4</v>
      </c>
    </row>
    <row r="143" spans="2:42" x14ac:dyDescent="0.3">
      <c r="B143" s="1">
        <v>0.30484928534334732</v>
      </c>
      <c r="C143" s="1"/>
      <c r="D143" s="4"/>
      <c r="E143" s="1"/>
      <c r="G143" s="4"/>
      <c r="H143" s="4"/>
      <c r="I143" s="1">
        <f t="shared" si="62"/>
        <v>5.0278799260323046</v>
      </c>
      <c r="M143" s="1">
        <f t="shared" si="53"/>
        <v>0.49381704406302573</v>
      </c>
      <c r="N143" s="1">
        <f t="shared" si="54"/>
        <v>1.2220853839081882</v>
      </c>
      <c r="O143" s="1">
        <f t="shared" si="55"/>
        <v>1.1744393838567773</v>
      </c>
      <c r="P143" s="1">
        <f t="shared" si="56"/>
        <v>1.1679355506761591</v>
      </c>
      <c r="R143" s="21">
        <f t="shared" si="63"/>
        <v>0.49381704406302573</v>
      </c>
      <c r="S143" s="21">
        <f t="shared" si="64"/>
        <v>1.2220853839081882</v>
      </c>
      <c r="T143" s="21">
        <f t="shared" si="65"/>
        <v>1.1744393838567773</v>
      </c>
      <c r="U143" s="21">
        <f t="shared" si="66"/>
        <v>1.1679355506761591</v>
      </c>
      <c r="Y143" s="21">
        <f t="shared" si="67"/>
        <v>5.046078377637973</v>
      </c>
      <c r="Z143" s="21">
        <f t="shared" si="68"/>
        <v>5.046078377637973</v>
      </c>
      <c r="AB143" s="21">
        <f t="shared" si="57"/>
        <v>-1.8198451605668353E-2</v>
      </c>
      <c r="AD143" s="1">
        <f t="shared" si="69"/>
        <v>1.9091671604395383E-4</v>
      </c>
      <c r="AE143" s="1">
        <f t="shared" si="58"/>
        <v>5.8200824446098093E-5</v>
      </c>
      <c r="AF143" s="1">
        <f t="shared" si="70"/>
        <v>1.347413260593925E-4</v>
      </c>
      <c r="AG143" s="1">
        <f t="shared" si="59"/>
        <v>4.1075796955420747E-5</v>
      </c>
      <c r="AH143" s="1">
        <f t="shared" si="71"/>
        <v>2.3256920161489491E-4</v>
      </c>
      <c r="AI143" s="1">
        <f t="shared" si="60"/>
        <v>7.0898554905173567E-5</v>
      </c>
      <c r="AJ143" s="1">
        <f t="shared" si="72"/>
        <v>1.4731586328007356E-4</v>
      </c>
      <c r="AK143" s="1">
        <f t="shared" si="61"/>
        <v>4.4909135640668686E-5</v>
      </c>
      <c r="AL143" s="1">
        <f t="shared" si="73"/>
        <v>1.7841619221243483E-4</v>
      </c>
      <c r="AM143" s="1">
        <f t="shared" si="74"/>
        <v>8.8104956651325196E-5</v>
      </c>
      <c r="AN143" s="1">
        <f t="shared" si="75"/>
        <v>2.1803982075537052E-4</v>
      </c>
      <c r="AO143" s="1">
        <f t="shared" si="76"/>
        <v>2.095390028520443E-4</v>
      </c>
      <c r="AP143" s="1">
        <f t="shared" si="77"/>
        <v>2.0837861370117351E-4</v>
      </c>
    </row>
    <row r="144" spans="2:42" x14ac:dyDescent="0.3">
      <c r="B144" s="1">
        <v>2.8121885587300777E-2</v>
      </c>
      <c r="C144" s="1"/>
      <c r="D144" s="4"/>
      <c r="E144" s="1"/>
      <c r="G144" s="4"/>
      <c r="H144" s="4"/>
      <c r="I144" s="1">
        <f t="shared" si="62"/>
        <v>5.0002372521346956</v>
      </c>
      <c r="M144" s="1">
        <f t="shared" si="53"/>
        <v>0.40967036060777634</v>
      </c>
      <c r="N144" s="1">
        <f t="shared" si="54"/>
        <v>1.099661038311728</v>
      </c>
      <c r="O144" s="1">
        <f t="shared" si="55"/>
        <v>1.2686400202460208</v>
      </c>
      <c r="P144" s="1">
        <f t="shared" si="56"/>
        <v>1.1403491947562039</v>
      </c>
      <c r="R144" s="21">
        <f t="shared" si="63"/>
        <v>0.40967036060777634</v>
      </c>
      <c r="S144" s="21">
        <f t="shared" si="64"/>
        <v>1.099661038311728</v>
      </c>
      <c r="T144" s="21">
        <f t="shared" si="65"/>
        <v>1.2686400202460208</v>
      </c>
      <c r="U144" s="21">
        <f t="shared" si="66"/>
        <v>1.1403491947562039</v>
      </c>
      <c r="Y144" s="21">
        <f t="shared" si="67"/>
        <v>4.9635950110957561</v>
      </c>
      <c r="Z144" s="21">
        <f t="shared" si="68"/>
        <v>4.9635950110957561</v>
      </c>
      <c r="AB144" s="21">
        <f t="shared" si="57"/>
        <v>3.6642241038939538E-2</v>
      </c>
      <c r="AD144" s="1">
        <f t="shared" si="69"/>
        <v>-3.8440722756140285E-4</v>
      </c>
      <c r="AE144" s="1">
        <f t="shared" si="58"/>
        <v>-1.0810256072413265E-5</v>
      </c>
      <c r="AF144" s="1">
        <f t="shared" si="70"/>
        <v>-2.7129913326454579E-4</v>
      </c>
      <c r="AG144" s="1">
        <f t="shared" si="59"/>
        <v>-7.6294431855994228E-6</v>
      </c>
      <c r="AH144" s="1">
        <f t="shared" si="71"/>
        <v>-4.6827372616428339E-4</v>
      </c>
      <c r="AI144" s="1">
        <f t="shared" si="60"/>
        <v>-1.3168740150730991E-5</v>
      </c>
      <c r="AJ144" s="1">
        <f t="shared" si="72"/>
        <v>-2.9661772815257447E-4</v>
      </c>
      <c r="AK144" s="1">
        <f t="shared" si="61"/>
        <v>-8.3414498142717832E-6</v>
      </c>
      <c r="AL144" s="1">
        <f t="shared" si="73"/>
        <v>-3.5923765724450528E-4</v>
      </c>
      <c r="AM144" s="1">
        <f t="shared" si="74"/>
        <v>-1.4716902058724924E-4</v>
      </c>
      <c r="AN144" s="1">
        <f t="shared" si="75"/>
        <v>-3.9503965516616532E-4</v>
      </c>
      <c r="AO144" s="1">
        <f t="shared" si="76"/>
        <v>-4.5574326875980227E-4</v>
      </c>
      <c r="AP144" s="1">
        <f t="shared" si="77"/>
        <v>-4.0965637316487676E-4</v>
      </c>
    </row>
    <row r="145" spans="2:42" x14ac:dyDescent="0.3">
      <c r="B145" s="1">
        <v>0.32829816013937041</v>
      </c>
      <c r="C145" s="1"/>
      <c r="D145" s="4"/>
      <c r="E145" s="1"/>
      <c r="G145" s="4"/>
      <c r="H145" s="4"/>
      <c r="I145" s="1">
        <f t="shared" si="62"/>
        <v>5.0323339045852684</v>
      </c>
      <c r="M145" s="1">
        <f t="shared" si="53"/>
        <v>0.50094732840271228</v>
      </c>
      <c r="N145" s="1">
        <f t="shared" si="54"/>
        <v>1.2324591783152732</v>
      </c>
      <c r="O145" s="1">
        <f t="shared" si="55"/>
        <v>1.1664571640608903</v>
      </c>
      <c r="P145" s="1">
        <f t="shared" si="56"/>
        <v>1.170273118284628</v>
      </c>
      <c r="R145" s="21">
        <f t="shared" si="63"/>
        <v>0.50094732840271228</v>
      </c>
      <c r="S145" s="21">
        <f t="shared" si="64"/>
        <v>1.2324591783152732</v>
      </c>
      <c r="T145" s="21">
        <f t="shared" si="65"/>
        <v>1.1664571640608903</v>
      </c>
      <c r="U145" s="21">
        <f t="shared" si="66"/>
        <v>1.170273118284628</v>
      </c>
      <c r="Y145" s="21">
        <f t="shared" si="67"/>
        <v>5.0530677185435282</v>
      </c>
      <c r="Z145" s="21">
        <f t="shared" si="68"/>
        <v>5.0530677185435282</v>
      </c>
      <c r="AB145" s="21">
        <f t="shared" si="57"/>
        <v>-2.0733813958259795E-2</v>
      </c>
      <c r="AD145" s="1">
        <f t="shared" si="69"/>
        <v>2.1751475113104135E-4</v>
      </c>
      <c r="AE145" s="1">
        <f t="shared" si="58"/>
        <v>7.1409692599493918E-5</v>
      </c>
      <c r="AF145" s="1">
        <f t="shared" si="70"/>
        <v>1.5351314757649492E-4</v>
      </c>
      <c r="AG145" s="1">
        <f t="shared" si="59"/>
        <v>5.039808390656693E-5</v>
      </c>
      <c r="AH145" s="1">
        <f t="shared" si="71"/>
        <v>2.6497015587866279E-4</v>
      </c>
      <c r="AI145" s="1">
        <f t="shared" si="60"/>
        <v>8.6989214666807174E-5</v>
      </c>
      <c r="AJ145" s="1">
        <f t="shared" si="72"/>
        <v>1.6783953759000612E-4</v>
      </c>
      <c r="AK145" s="1">
        <f t="shared" si="61"/>
        <v>5.5101411389441711E-5</v>
      </c>
      <c r="AL145" s="1">
        <f t="shared" si="73"/>
        <v>2.0327268586529211E-4</v>
      </c>
      <c r="AM145" s="1">
        <f t="shared" si="74"/>
        <v>1.0182890892146186E-4</v>
      </c>
      <c r="AN145" s="1">
        <f t="shared" si="75"/>
        <v>2.5052528739547653E-4</v>
      </c>
      <c r="AO145" s="1">
        <f t="shared" si="76"/>
        <v>2.3710888068546884E-4</v>
      </c>
      <c r="AP145" s="1">
        <f t="shared" si="77"/>
        <v>2.3788455994966701E-4</v>
      </c>
    </row>
    <row r="146" spans="2:42" x14ac:dyDescent="0.3">
      <c r="B146" s="1">
        <v>0.17716362225046445</v>
      </c>
      <c r="C146" s="1"/>
      <c r="D146" s="4"/>
      <c r="E146" s="1"/>
      <c r="G146" s="4"/>
      <c r="H146" s="4"/>
      <c r="I146" s="1">
        <f t="shared" si="62"/>
        <v>5.0094160847146716</v>
      </c>
      <c r="M146" s="1">
        <f t="shared" si="53"/>
        <v>0.45499065721617837</v>
      </c>
      <c r="N146" s="1">
        <f t="shared" si="54"/>
        <v>1.1655971801380636</v>
      </c>
      <c r="O146" s="1">
        <f t="shared" si="55"/>
        <v>1.2179047968651591</v>
      </c>
      <c r="P146" s="1">
        <f t="shared" si="56"/>
        <v>1.1552068431066846</v>
      </c>
      <c r="R146" s="21">
        <f t="shared" si="63"/>
        <v>0.45499065721617837</v>
      </c>
      <c r="S146" s="21">
        <f t="shared" si="64"/>
        <v>1.1655971801380636</v>
      </c>
      <c r="T146" s="21">
        <f t="shared" si="65"/>
        <v>1.2179047968651591</v>
      </c>
      <c r="U146" s="21">
        <f t="shared" si="66"/>
        <v>1.1552068431066846</v>
      </c>
      <c r="Y146" s="21">
        <f t="shared" si="67"/>
        <v>5.0080194670987161</v>
      </c>
      <c r="Z146" s="21">
        <f t="shared" si="68"/>
        <v>5.0080194670987161</v>
      </c>
      <c r="AB146" s="21">
        <f t="shared" si="57"/>
        <v>1.3966176159554422E-3</v>
      </c>
      <c r="AD146" s="1">
        <f t="shared" si="69"/>
        <v>-1.4651666778304265E-5</v>
      </c>
      <c r="AE146" s="1">
        <f t="shared" si="58"/>
        <v>-2.595742358451176E-6</v>
      </c>
      <c r="AF146" s="1">
        <f t="shared" si="70"/>
        <v>-1.0340556089570265E-5</v>
      </c>
      <c r="AG146" s="1">
        <f t="shared" si="59"/>
        <v>-1.8319703729123662E-6</v>
      </c>
      <c r="AH146" s="1">
        <f t="shared" si="71"/>
        <v>-1.7848235165396433E-5</v>
      </c>
      <c r="AI146" s="1">
        <f t="shared" si="60"/>
        <v>-3.1620579926797493E-6</v>
      </c>
      <c r="AJ146" s="1">
        <f t="shared" si="72"/>
        <v>-1.1305573365513702E-5</v>
      </c>
      <c r="AK146" s="1">
        <f t="shared" si="61"/>
        <v>-2.0029363290527815E-6</v>
      </c>
      <c r="AL146" s="1">
        <f t="shared" si="73"/>
        <v>-1.3692329568190609E-5</v>
      </c>
      <c r="AM146" s="1">
        <f t="shared" si="74"/>
        <v>-6.2298820290515574E-6</v>
      </c>
      <c r="AN146" s="1">
        <f t="shared" si="75"/>
        <v>-1.5959740734204003E-5</v>
      </c>
      <c r="AO146" s="1">
        <f t="shared" si="76"/>
        <v>-1.6675953861357995E-5</v>
      </c>
      <c r="AP146" s="1">
        <f t="shared" si="77"/>
        <v>-1.5817472815245789E-5</v>
      </c>
    </row>
    <row r="147" spans="2:42" x14ac:dyDescent="0.3">
      <c r="B147" s="1">
        <v>0.5394302331156553</v>
      </c>
      <c r="C147" s="1"/>
      <c r="D147" s="4"/>
      <c r="E147" s="1"/>
      <c r="G147" s="4"/>
      <c r="H147" s="4"/>
      <c r="I147" s="1">
        <f t="shared" si="62"/>
        <v>5.0872954929197629</v>
      </c>
      <c r="M147" s="1">
        <f t="shared" si="53"/>
        <v>0.56514792338408393</v>
      </c>
      <c r="N147" s="1">
        <f t="shared" si="54"/>
        <v>1.3258641172238605</v>
      </c>
      <c r="O147" s="1">
        <f t="shared" si="55"/>
        <v>1.0945858002057769</v>
      </c>
      <c r="P147" s="1">
        <f t="shared" si="56"/>
        <v>1.1913204179606856</v>
      </c>
      <c r="R147" s="21">
        <f t="shared" si="63"/>
        <v>0.56514792338408393</v>
      </c>
      <c r="S147" s="21">
        <f t="shared" si="64"/>
        <v>1.3258641172238605</v>
      </c>
      <c r="T147" s="21">
        <f t="shared" si="65"/>
        <v>1.0945858002057769</v>
      </c>
      <c r="U147" s="21">
        <f t="shared" si="66"/>
        <v>1.1913204179606856</v>
      </c>
      <c r="Y147" s="21">
        <f t="shared" si="67"/>
        <v>5.1159992684351305</v>
      </c>
      <c r="Z147" s="21">
        <f t="shared" si="68"/>
        <v>5.1159992684351305</v>
      </c>
      <c r="AB147" s="21">
        <f t="shared" si="57"/>
        <v>-2.8703775515367624E-2</v>
      </c>
      <c r="AD147" s="1">
        <f t="shared" si="69"/>
        <v>3.011261989866185E-4</v>
      </c>
      <c r="AE147" s="1">
        <f t="shared" si="58"/>
        <v>1.6243657571658282E-4</v>
      </c>
      <c r="AF147" s="1">
        <f t="shared" si="70"/>
        <v>2.1252273872833787E-4</v>
      </c>
      <c r="AG147" s="1">
        <f t="shared" si="59"/>
        <v>1.1464119049460481E-4</v>
      </c>
      <c r="AH147" s="1">
        <f t="shared" si="71"/>
        <v>3.6682319460975096E-4</v>
      </c>
      <c r="AI147" s="1">
        <f t="shared" si="60"/>
        <v>1.9787552138056735E-4</v>
      </c>
      <c r="AJ147" s="1">
        <f t="shared" si="72"/>
        <v>2.3235611254568184E-4</v>
      </c>
      <c r="AK147" s="1">
        <f t="shared" si="61"/>
        <v>1.2533991195636459E-4</v>
      </c>
      <c r="AL147" s="1">
        <f t="shared" si="73"/>
        <v>2.8140956387615317E-4</v>
      </c>
      <c r="AM147" s="1">
        <f t="shared" si="74"/>
        <v>1.5903803064502869E-4</v>
      </c>
      <c r="AN147" s="1">
        <f t="shared" si="75"/>
        <v>3.7311084298700741E-4</v>
      </c>
      <c r="AO147" s="1">
        <f t="shared" si="76"/>
        <v>3.080269126609378E-4</v>
      </c>
      <c r="AP147" s="1">
        <f t="shared" si="77"/>
        <v>3.3524895925507301E-4</v>
      </c>
    </row>
    <row r="148" spans="2:42" x14ac:dyDescent="0.3">
      <c r="B148" s="1">
        <v>0.96801041910895991</v>
      </c>
      <c r="C148" s="1"/>
      <c r="D148" s="4"/>
      <c r="E148" s="1"/>
      <c r="G148" s="4"/>
      <c r="H148" s="4"/>
      <c r="I148" s="1">
        <f t="shared" si="62"/>
        <v>5.2811132514510515</v>
      </c>
      <c r="M148" s="1">
        <f t="shared" si="53"/>
        <v>0.69546968146717569</v>
      </c>
      <c r="N148" s="1">
        <f t="shared" si="54"/>
        <v>1.5154682144404505</v>
      </c>
      <c r="O148" s="1">
        <f t="shared" si="55"/>
        <v>0.94869303244956371</v>
      </c>
      <c r="P148" s="1">
        <f t="shared" si="56"/>
        <v>1.234044649682859</v>
      </c>
      <c r="R148" s="21">
        <f t="shared" si="63"/>
        <v>0.69546968146717569</v>
      </c>
      <c r="S148" s="21">
        <f t="shared" si="64"/>
        <v>1.5154682144404505</v>
      </c>
      <c r="T148" s="21">
        <f t="shared" si="65"/>
        <v>0.94869303244956371</v>
      </c>
      <c r="U148" s="21">
        <f t="shared" si="66"/>
        <v>1.234044649682859</v>
      </c>
      <c r="Y148" s="21">
        <f t="shared" si="67"/>
        <v>5.2437449727100995</v>
      </c>
      <c r="Z148" s="21">
        <f t="shared" si="68"/>
        <v>5.2437449727100995</v>
      </c>
      <c r="AB148" s="21">
        <f t="shared" si="57"/>
        <v>3.7368278740951943E-2</v>
      </c>
      <c r="AD148" s="1">
        <f t="shared" si="69"/>
        <v>-3.9202395984147949E-4</v>
      </c>
      <c r="AE148" s="1">
        <f t="shared" si="58"/>
        <v>-3.7948327766690462E-4</v>
      </c>
      <c r="AF148" s="1">
        <f t="shared" si="70"/>
        <v>-2.7667471602609207E-4</v>
      </c>
      <c r="AG148" s="1">
        <f t="shared" si="59"/>
        <v>-2.6782400781726984E-4</v>
      </c>
      <c r="AH148" s="1">
        <f t="shared" si="71"/>
        <v>-4.7755220833178516E-4</v>
      </c>
      <c r="AI148" s="1">
        <f t="shared" si="60"/>
        <v>-4.6227551333366068E-4</v>
      </c>
      <c r="AJ148" s="1">
        <f t="shared" si="72"/>
        <v>-3.0249497931456477E-4</v>
      </c>
      <c r="AK148" s="1">
        <f t="shared" si="61"/>
        <v>-2.9281829170464799E-4</v>
      </c>
      <c r="AL148" s="1">
        <f t="shared" si="73"/>
        <v>-3.6635567393090139E-4</v>
      </c>
      <c r="AM148" s="1">
        <f t="shared" si="74"/>
        <v>-2.5478926385241648E-4</v>
      </c>
      <c r="AN148" s="1">
        <f t="shared" si="75"/>
        <v>-5.5520037902219107E-4</v>
      </c>
      <c r="AO148" s="1">
        <f t="shared" si="76"/>
        <v>-3.475590752566104E-4</v>
      </c>
      <c r="AP148" s="1">
        <f t="shared" si="77"/>
        <v>-4.5209925929538689E-4</v>
      </c>
    </row>
    <row r="149" spans="2:42" x14ac:dyDescent="0.3">
      <c r="B149" s="1">
        <v>0.82011052615956181</v>
      </c>
      <c r="C149" s="1"/>
      <c r="D149" s="4"/>
      <c r="E149" s="1"/>
      <c r="G149" s="4"/>
      <c r="H149" s="4"/>
      <c r="I149" s="1">
        <f t="shared" si="62"/>
        <v>5.201774382535314</v>
      </c>
      <c r="M149" s="1">
        <f t="shared" si="53"/>
        <v>0.65049659428444773</v>
      </c>
      <c r="N149" s="1">
        <f t="shared" si="54"/>
        <v>1.4500372248670337</v>
      </c>
      <c r="O149" s="1">
        <f t="shared" si="55"/>
        <v>0.99903956138026051</v>
      </c>
      <c r="P149" s="1">
        <f t="shared" si="56"/>
        <v>1.2193008292623941</v>
      </c>
      <c r="R149" s="21">
        <f t="shared" si="63"/>
        <v>0.65049659428444773</v>
      </c>
      <c r="S149" s="21">
        <f t="shared" si="64"/>
        <v>1.4500372248670337</v>
      </c>
      <c r="T149" s="21">
        <f t="shared" si="65"/>
        <v>0.99903956138026051</v>
      </c>
      <c r="U149" s="21">
        <f t="shared" si="66"/>
        <v>1.2193008292623941</v>
      </c>
      <c r="Y149" s="21">
        <f t="shared" si="67"/>
        <v>5.1996608628877468</v>
      </c>
      <c r="Z149" s="21">
        <f t="shared" si="68"/>
        <v>5.1996608628877468</v>
      </c>
      <c r="AB149" s="21">
        <f t="shared" si="57"/>
        <v>2.1135196475672302E-3</v>
      </c>
      <c r="AD149" s="1">
        <f t="shared" si="69"/>
        <v>-2.2172558366571601E-5</v>
      </c>
      <c r="AE149" s="1">
        <f t="shared" si="58"/>
        <v>-1.8183948508312629E-5</v>
      </c>
      <c r="AF149" s="1">
        <f t="shared" si="70"/>
        <v>-1.5648498352304176E-5</v>
      </c>
      <c r="AG149" s="1">
        <f t="shared" si="59"/>
        <v>-1.2833498217315215E-5</v>
      </c>
      <c r="AH149" s="1">
        <f t="shared" si="71"/>
        <v>-2.700996698416929E-5</v>
      </c>
      <c r="AI149" s="1">
        <f t="shared" si="60"/>
        <v>-2.2151158234939469E-5</v>
      </c>
      <c r="AJ149" s="1">
        <f t="shared" si="72"/>
        <v>-1.7108871578051413E-5</v>
      </c>
      <c r="AK149" s="1">
        <f t="shared" si="61"/>
        <v>-1.4031165671872117E-5</v>
      </c>
      <c r="AL149" s="1">
        <f t="shared" si="73"/>
        <v>-2.0720780858502256E-5</v>
      </c>
      <c r="AM149" s="1">
        <f t="shared" si="74"/>
        <v>-1.3478797379370093E-5</v>
      </c>
      <c r="AN149" s="1">
        <f t="shared" si="75"/>
        <v>-3.0045903573140562E-5</v>
      </c>
      <c r="AO149" s="1">
        <f t="shared" si="76"/>
        <v>-2.0700879820334594E-5</v>
      </c>
      <c r="AP149" s="1">
        <f t="shared" si="77"/>
        <v>-2.5264865283736146E-5</v>
      </c>
    </row>
    <row r="150" spans="2:42" x14ac:dyDescent="0.3">
      <c r="B150" s="1">
        <v>0.65736537811468465</v>
      </c>
      <c r="C150" s="1"/>
      <c r="D150" s="4"/>
      <c r="E150" s="1"/>
      <c r="G150" s="4"/>
      <c r="H150" s="4"/>
      <c r="I150" s="1">
        <f t="shared" si="62"/>
        <v>5.1296387721031591</v>
      </c>
      <c r="M150" s="1">
        <f t="shared" si="53"/>
        <v>0.6010093932755034</v>
      </c>
      <c r="N150" s="1">
        <f t="shared" si="54"/>
        <v>1.3780386867173693</v>
      </c>
      <c r="O150" s="1">
        <f t="shared" si="55"/>
        <v>1.0544395562076758</v>
      </c>
      <c r="P150" s="1">
        <f t="shared" si="56"/>
        <v>1.2030771174717669</v>
      </c>
      <c r="R150" s="21">
        <f t="shared" si="63"/>
        <v>0.6010093932755034</v>
      </c>
      <c r="S150" s="21">
        <f t="shared" si="64"/>
        <v>1.3780386867173693</v>
      </c>
      <c r="T150" s="21">
        <f t="shared" si="65"/>
        <v>1.0544395562076758</v>
      </c>
      <c r="U150" s="21">
        <f t="shared" si="66"/>
        <v>1.2030771174717669</v>
      </c>
      <c r="Y150" s="21">
        <f t="shared" si="67"/>
        <v>5.1511518691596692</v>
      </c>
      <c r="Z150" s="21">
        <f t="shared" si="68"/>
        <v>5.1511518691596692</v>
      </c>
      <c r="AB150" s="21">
        <f t="shared" si="57"/>
        <v>-2.1513097056510055E-2</v>
      </c>
      <c r="AD150" s="1">
        <f t="shared" si="69"/>
        <v>2.2569007138412031E-4</v>
      </c>
      <c r="AE150" s="1">
        <f t="shared" si="58"/>
        <v>1.4836083911215242E-4</v>
      </c>
      <c r="AF150" s="1">
        <f t="shared" si="70"/>
        <v>1.5928295922361366E-4</v>
      </c>
      <c r="AG150" s="1">
        <f t="shared" si="59"/>
        <v>1.047071027172567E-4</v>
      </c>
      <c r="AH150" s="1">
        <f t="shared" si="71"/>
        <v>2.7492909370036153E-4</v>
      </c>
      <c r="AI150" s="1">
        <f t="shared" si="60"/>
        <v>1.8072886763506572E-4</v>
      </c>
      <c r="AJ150" s="1">
        <f t="shared" si="72"/>
        <v>1.741478084718294E-4</v>
      </c>
      <c r="AK150" s="1">
        <f t="shared" si="61"/>
        <v>1.1447873996392782E-4</v>
      </c>
      <c r="AL150" s="1">
        <f t="shared" si="73"/>
        <v>2.1091271624029467E-4</v>
      </c>
      <c r="AM150" s="1">
        <f t="shared" si="74"/>
        <v>1.267605236216679E-4</v>
      </c>
      <c r="AN150" s="1">
        <f t="shared" si="75"/>
        <v>2.9064588249976881E-4</v>
      </c>
      <c r="AO150" s="1">
        <f t="shared" si="76"/>
        <v>2.2239471091097177E-4</v>
      </c>
      <c r="AP150" s="1">
        <f t="shared" si="77"/>
        <v>2.5374426269251442E-4</v>
      </c>
    </row>
    <row r="151" spans="2:42" x14ac:dyDescent="0.3">
      <c r="B151" s="1">
        <v>0.88195432291615983</v>
      </c>
      <c r="C151" s="1"/>
      <c r="D151" s="4"/>
      <c r="E151" s="1"/>
      <c r="G151" s="4"/>
      <c r="H151" s="4"/>
      <c r="I151" s="1">
        <f t="shared" si="62"/>
        <v>5.2333530283131502</v>
      </c>
      <c r="M151" s="1">
        <f t="shared" si="53"/>
        <v>0.66930192542959588</v>
      </c>
      <c r="N151" s="1">
        <f t="shared" si="54"/>
        <v>1.4773969527212381</v>
      </c>
      <c r="O151" s="1">
        <f t="shared" si="55"/>
        <v>0.97798734531371156</v>
      </c>
      <c r="P151" s="1">
        <f t="shared" si="56"/>
        <v>1.2254659035928466</v>
      </c>
      <c r="R151" s="21">
        <f t="shared" si="63"/>
        <v>0.66930192542959588</v>
      </c>
      <c r="S151" s="21">
        <f t="shared" si="64"/>
        <v>1.4773969527212381</v>
      </c>
      <c r="T151" s="21">
        <f t="shared" si="65"/>
        <v>0.97798734531371156</v>
      </c>
      <c r="U151" s="21">
        <f t="shared" si="66"/>
        <v>1.2254659035928466</v>
      </c>
      <c r="Y151" s="21">
        <f t="shared" si="67"/>
        <v>5.2180944714163333</v>
      </c>
      <c r="Z151" s="21">
        <f t="shared" si="68"/>
        <v>5.2180944714163333</v>
      </c>
      <c r="AB151" s="21">
        <f t="shared" si="57"/>
        <v>1.5258556896816877E-2</v>
      </c>
      <c r="AD151" s="1">
        <f t="shared" si="69"/>
        <v>-1.6007480402358741E-4</v>
      </c>
      <c r="AE151" s="1">
        <f t="shared" si="58"/>
        <v>-1.4117866539856E-4</v>
      </c>
      <c r="AF151" s="1">
        <f t="shared" si="70"/>
        <v>-1.1297434719058279E-4</v>
      </c>
      <c r="AG151" s="1">
        <f t="shared" si="59"/>
        <v>-9.9638213883365605E-5</v>
      </c>
      <c r="AH151" s="1">
        <f t="shared" si="71"/>
        <v>-1.9499847966091959E-4</v>
      </c>
      <c r="AI151" s="1">
        <f t="shared" si="60"/>
        <v>-1.7197975209902691E-4</v>
      </c>
      <c r="AJ151" s="1">
        <f t="shared" si="72"/>
        <v>-1.2351751293843911E-4</v>
      </c>
      <c r="AK151" s="1">
        <f t="shared" si="61"/>
        <v>-1.0893680449190907E-4</v>
      </c>
      <c r="AL151" s="1">
        <f t="shared" si="73"/>
        <v>-1.4959369506683214E-4</v>
      </c>
      <c r="AM151" s="1">
        <f t="shared" si="74"/>
        <v>-1.0012334814035859E-4</v>
      </c>
      <c r="AN151" s="1">
        <f t="shared" si="75"/>
        <v>-2.2100926923804791E-4</v>
      </c>
      <c r="AO151" s="1">
        <f t="shared" si="76"/>
        <v>-1.4630074071408003E-4</v>
      </c>
      <c r="AP151" s="1">
        <f t="shared" si="77"/>
        <v>-1.8332197269686819E-4</v>
      </c>
    </row>
    <row r="152" spans="2:42" x14ac:dyDescent="0.3">
      <c r="B152" s="1">
        <v>0.60303080215557758</v>
      </c>
      <c r="C152" s="1"/>
      <c r="D152" s="4"/>
      <c r="E152" s="1"/>
      <c r="G152" s="4"/>
      <c r="H152" s="4"/>
      <c r="I152" s="1">
        <f t="shared" si="62"/>
        <v>5.1090938445045202</v>
      </c>
      <c r="M152" s="1">
        <f t="shared" si="53"/>
        <v>0.5844874501360211</v>
      </c>
      <c r="N152" s="1">
        <f t="shared" si="54"/>
        <v>1.3540010420500219</v>
      </c>
      <c r="O152" s="1">
        <f t="shared" si="55"/>
        <v>1.0729355621608259</v>
      </c>
      <c r="P152" s="1">
        <f t="shared" si="56"/>
        <v>1.1976606211201619</v>
      </c>
      <c r="R152" s="21">
        <f t="shared" si="63"/>
        <v>0.5844874501360211</v>
      </c>
      <c r="S152" s="21">
        <f t="shared" si="64"/>
        <v>1.3540010420500219</v>
      </c>
      <c r="T152" s="21">
        <f t="shared" si="65"/>
        <v>1.0729355621608259</v>
      </c>
      <c r="U152" s="21">
        <f t="shared" si="66"/>
        <v>1.1976606211201619</v>
      </c>
      <c r="Y152" s="21">
        <f t="shared" si="67"/>
        <v>5.1349565131931048</v>
      </c>
      <c r="Z152" s="21">
        <f t="shared" si="68"/>
        <v>5.1349565131931048</v>
      </c>
      <c r="AB152" s="21">
        <f t="shared" si="57"/>
        <v>-2.5862668688584556E-2</v>
      </c>
      <c r="AD152" s="1">
        <f t="shared" si="69"/>
        <v>2.7132065305047228E-4</v>
      </c>
      <c r="AE152" s="1">
        <f t="shared" si="58"/>
        <v>1.6361471105040147E-4</v>
      </c>
      <c r="AF152" s="1">
        <f t="shared" si="70"/>
        <v>1.9148718528609301E-4</v>
      </c>
      <c r="AG152" s="1">
        <f t="shared" si="59"/>
        <v>1.1547267094558638E-4</v>
      </c>
      <c r="AH152" s="1">
        <f t="shared" si="71"/>
        <v>3.3051494373626688E-4</v>
      </c>
      <c r="AI152" s="1">
        <f t="shared" si="60"/>
        <v>1.9931069164568662E-4</v>
      </c>
      <c r="AJ152" s="1">
        <f t="shared" si="72"/>
        <v>2.0935744683897448E-4</v>
      </c>
      <c r="AK152" s="1">
        <f t="shared" si="61"/>
        <v>1.2624898910455046E-4</v>
      </c>
      <c r="AL152" s="1">
        <f t="shared" si="73"/>
        <v>2.5355557537827994E-4</v>
      </c>
      <c r="AM152" s="1">
        <f t="shared" si="74"/>
        <v>1.4820005172062255E-4</v>
      </c>
      <c r="AN152" s="1">
        <f t="shared" si="75"/>
        <v>3.4331451327978391E-4</v>
      </c>
      <c r="AO152" s="1">
        <f t="shared" si="76"/>
        <v>2.7204879380750643E-4</v>
      </c>
      <c r="AP152" s="1">
        <f t="shared" si="77"/>
        <v>3.0367352789603078E-4</v>
      </c>
    </row>
    <row r="153" spans="2:42" x14ac:dyDescent="0.3">
      <c r="B153" s="1">
        <v>0.16842165408413279</v>
      </c>
      <c r="C153" s="1"/>
      <c r="D153" s="4"/>
      <c r="E153" s="1"/>
      <c r="G153" s="4"/>
      <c r="H153" s="4"/>
      <c r="I153" s="1">
        <f t="shared" si="62"/>
        <v>5.0085097560693308</v>
      </c>
      <c r="M153" s="1">
        <f t="shared" si="53"/>
        <v>0.45233241799333068</v>
      </c>
      <c r="N153" s="1">
        <f t="shared" si="54"/>
        <v>1.1617297288739976</v>
      </c>
      <c r="O153" s="1">
        <f t="shared" si="55"/>
        <v>1.220880645896693</v>
      </c>
      <c r="P153" s="1">
        <f t="shared" si="56"/>
        <v>1.1543353752090717</v>
      </c>
      <c r="R153" s="21">
        <f t="shared" si="63"/>
        <v>0.45233241799333068</v>
      </c>
      <c r="S153" s="21">
        <f t="shared" si="64"/>
        <v>1.1617297288739976</v>
      </c>
      <c r="T153" s="21">
        <f t="shared" si="65"/>
        <v>1.220880645896693</v>
      </c>
      <c r="U153" s="21">
        <f t="shared" si="66"/>
        <v>1.1543353752090717</v>
      </c>
      <c r="Y153" s="21">
        <f t="shared" si="67"/>
        <v>5.0054137729563966</v>
      </c>
      <c r="Z153" s="21">
        <f t="shared" si="68"/>
        <v>5.0054137729563966</v>
      </c>
      <c r="AB153" s="21">
        <f t="shared" si="57"/>
        <v>3.0959831129342419E-3</v>
      </c>
      <c r="AD153" s="1">
        <f t="shared" si="69"/>
        <v>-3.2479407680202753E-5</v>
      </c>
      <c r="AE153" s="1">
        <f t="shared" si="58"/>
        <v>-5.4702355651726337E-6</v>
      </c>
      <c r="AF153" s="1">
        <f t="shared" si="70"/>
        <v>-2.2922657330050649E-5</v>
      </c>
      <c r="AG153" s="1">
        <f t="shared" si="59"/>
        <v>-3.860671863530901E-6</v>
      </c>
      <c r="AH153" s="1">
        <f t="shared" si="71"/>
        <v>-3.9565471634083558E-5</v>
      </c>
      <c r="AI153" s="1">
        <f t="shared" si="60"/>
        <v>-6.6636821772311895E-6</v>
      </c>
      <c r="AJ153" s="1">
        <f t="shared" si="72"/>
        <v>-2.5061880805308609E-5</v>
      </c>
      <c r="AK153" s="1">
        <f t="shared" si="61"/>
        <v>-4.2209634196894538E-6</v>
      </c>
      <c r="AL153" s="1">
        <f t="shared" si="73"/>
        <v>-3.035277561700237E-5</v>
      </c>
      <c r="AM153" s="1">
        <f t="shared" si="74"/>
        <v>-1.3729544387647691E-5</v>
      </c>
      <c r="AN153" s="1">
        <f t="shared" si="75"/>
        <v>-3.526172178811345E-5</v>
      </c>
      <c r="AO153" s="1">
        <f t="shared" si="76"/>
        <v>-3.7057116300043246E-5</v>
      </c>
      <c r="AP153" s="1">
        <f t="shared" si="77"/>
        <v>-3.5037282630489193E-5</v>
      </c>
    </row>
    <row r="154" spans="2:42" x14ac:dyDescent="0.3">
      <c r="B154" s="1">
        <v>0.92040441392676187</v>
      </c>
      <c r="C154" s="1"/>
      <c r="D154" s="4"/>
      <c r="E154" s="1"/>
      <c r="G154" s="4"/>
      <c r="H154" s="4"/>
      <c r="I154" s="1">
        <f t="shared" si="62"/>
        <v>5.2541432855527601</v>
      </c>
      <c r="M154" s="1">
        <f t="shared" si="53"/>
        <v>0.68099374792330969</v>
      </c>
      <c r="N154" s="1">
        <f t="shared" si="54"/>
        <v>1.4944072929847863</v>
      </c>
      <c r="O154" s="1">
        <f t="shared" si="55"/>
        <v>0.96489856897419435</v>
      </c>
      <c r="P154" s="1">
        <f t="shared" si="56"/>
        <v>1.2292989099980967</v>
      </c>
      <c r="R154" s="21">
        <f t="shared" si="63"/>
        <v>0.68099374792330969</v>
      </c>
      <c r="S154" s="21">
        <f t="shared" si="64"/>
        <v>1.4944072929847863</v>
      </c>
      <c r="T154" s="21">
        <f t="shared" si="65"/>
        <v>0.96489856897419435</v>
      </c>
      <c r="U154" s="21">
        <f t="shared" si="66"/>
        <v>1.2292989099980967</v>
      </c>
      <c r="Y154" s="21">
        <f t="shared" si="67"/>
        <v>5.2295551831246971</v>
      </c>
      <c r="Z154" s="21">
        <f t="shared" si="68"/>
        <v>5.2295551831246971</v>
      </c>
      <c r="AB154" s="21">
        <f t="shared" si="57"/>
        <v>2.4588102428062975E-2</v>
      </c>
      <c r="AD154" s="1">
        <f t="shared" si="69"/>
        <v>-2.5794940531402143E-4</v>
      </c>
      <c r="AE154" s="1">
        <f t="shared" si="58"/>
        <v>-2.3741777122080864E-4</v>
      </c>
      <c r="AF154" s="1">
        <f t="shared" si="70"/>
        <v>-1.8205029736757651E-4</v>
      </c>
      <c r="AG154" s="1">
        <f t="shared" si="59"/>
        <v>-1.6755989725379696E-4</v>
      </c>
      <c r="AH154" s="1">
        <f t="shared" si="71"/>
        <v>-3.1422647788005868E-4</v>
      </c>
      <c r="AI154" s="1">
        <f t="shared" si="60"/>
        <v>-2.8921543721346601E-4</v>
      </c>
      <c r="AJ154" s="1">
        <f t="shared" si="72"/>
        <v>-1.9903987515513361E-4</v>
      </c>
      <c r="AK154" s="1">
        <f t="shared" si="61"/>
        <v>-1.8319717964021662E-4</v>
      </c>
      <c r="AL154" s="1">
        <f t="shared" si="73"/>
        <v>-2.4105982772610758E-4</v>
      </c>
      <c r="AM154" s="1">
        <f t="shared" si="74"/>
        <v>-1.6416023555694935E-4</v>
      </c>
      <c r="AN154" s="1">
        <f t="shared" si="75"/>
        <v>-3.6024156459955138E-4</v>
      </c>
      <c r="AO154" s="1">
        <f t="shared" si="76"/>
        <v>-2.3259828281008702E-4</v>
      </c>
      <c r="AP154" s="1">
        <f t="shared" si="77"/>
        <v>-2.9633458346803299E-4</v>
      </c>
    </row>
    <row r="155" spans="2:42" x14ac:dyDescent="0.3">
      <c r="B155" s="1">
        <v>0.98622728771054291</v>
      </c>
      <c r="C155" s="1"/>
      <c r="D155" s="4"/>
      <c r="E155" s="1"/>
      <c r="G155" s="4"/>
      <c r="H155" s="4"/>
      <c r="I155" s="1">
        <f t="shared" si="62"/>
        <v>5.291793278907468</v>
      </c>
      <c r="M155" s="1">
        <f t="shared" si="53"/>
        <v>0.701009028409743</v>
      </c>
      <c r="N155" s="1">
        <f t="shared" si="54"/>
        <v>1.5235273665855997</v>
      </c>
      <c r="O155" s="1">
        <f t="shared" si="55"/>
        <v>0.94249183727770447</v>
      </c>
      <c r="P155" s="1">
        <f t="shared" si="56"/>
        <v>1.2358606499106404</v>
      </c>
      <c r="R155" s="21">
        <f t="shared" si="63"/>
        <v>0.701009028409743</v>
      </c>
      <c r="S155" s="21">
        <f t="shared" si="64"/>
        <v>1.5235273665855997</v>
      </c>
      <c r="T155" s="21">
        <f t="shared" si="65"/>
        <v>0.94249183727770447</v>
      </c>
      <c r="U155" s="21">
        <f t="shared" si="66"/>
        <v>1.2358606499106404</v>
      </c>
      <c r="Y155" s="21">
        <f t="shared" si="67"/>
        <v>5.2491748240780547</v>
      </c>
      <c r="Z155" s="21">
        <f t="shared" si="68"/>
        <v>5.2491748240780547</v>
      </c>
      <c r="AB155" s="21">
        <f t="shared" si="57"/>
        <v>4.2618454829413288E-2</v>
      </c>
      <c r="AD155" s="1">
        <f t="shared" si="69"/>
        <v>-4.4710262253107482E-4</v>
      </c>
      <c r="AE155" s="1">
        <f t="shared" si="58"/>
        <v>-4.409448067470926E-4</v>
      </c>
      <c r="AF155" s="1">
        <f t="shared" si="70"/>
        <v>-3.155470170071412E-4</v>
      </c>
      <c r="AG155" s="1">
        <f t="shared" si="59"/>
        <v>-3.1120107872810541E-4</v>
      </c>
      <c r="AH155" s="1">
        <f t="shared" si="71"/>
        <v>-5.4464743641430779E-4</v>
      </c>
      <c r="AI155" s="1">
        <f t="shared" si="60"/>
        <v>-5.3714616397338311E-4</v>
      </c>
      <c r="AJ155" s="1">
        <f t="shared" si="72"/>
        <v>-3.449949809412514E-4</v>
      </c>
      <c r="AK155" s="1">
        <f t="shared" si="61"/>
        <v>-3.4024346432744081E-4</v>
      </c>
      <c r="AL155" s="1">
        <f t="shared" si="73"/>
        <v>-4.1782798852365969E-4</v>
      </c>
      <c r="AM155" s="1">
        <f t="shared" si="74"/>
        <v>-2.9290119227736794E-4</v>
      </c>
      <c r="AN155" s="1">
        <f t="shared" si="75"/>
        <v>-6.3657237504120942E-4</v>
      </c>
      <c r="AO155" s="1">
        <f t="shared" si="76"/>
        <v>-3.9379946856971164E-4</v>
      </c>
      <c r="AP155" s="1">
        <f t="shared" si="77"/>
        <v>-5.163771694477057E-4</v>
      </c>
    </row>
    <row r="156" spans="2:42" x14ac:dyDescent="0.3">
      <c r="B156" s="1">
        <v>0.50027258449828438</v>
      </c>
      <c r="C156" s="1"/>
      <c r="D156" s="4"/>
      <c r="E156" s="1"/>
      <c r="G156" s="4"/>
      <c r="H156" s="4"/>
      <c r="I156" s="1">
        <f t="shared" si="62"/>
        <v>5.0750817976401779</v>
      </c>
      <c r="M156" s="1">
        <f t="shared" si="53"/>
        <v>0.55324094826719072</v>
      </c>
      <c r="N156" s="1">
        <f t="shared" si="54"/>
        <v>1.3085407531070299</v>
      </c>
      <c r="O156" s="1">
        <f t="shared" si="55"/>
        <v>1.1079154358779746</v>
      </c>
      <c r="P156" s="1">
        <f t="shared" si="56"/>
        <v>1.1874168766680648</v>
      </c>
      <c r="R156" s="21">
        <f t="shared" si="63"/>
        <v>0.55324094826719072</v>
      </c>
      <c r="S156" s="21">
        <f t="shared" si="64"/>
        <v>1.3085407531070299</v>
      </c>
      <c r="T156" s="21">
        <f t="shared" si="65"/>
        <v>1.1079154358779746</v>
      </c>
      <c r="U156" s="21">
        <f t="shared" si="66"/>
        <v>1.1874168766680648</v>
      </c>
      <c r="Y156" s="21">
        <f t="shared" si="67"/>
        <v>5.104327656998441</v>
      </c>
      <c r="Z156" s="21">
        <f t="shared" si="68"/>
        <v>5.104327656998441</v>
      </c>
      <c r="AB156" s="21">
        <f t="shared" si="57"/>
        <v>-2.9245859358263182E-2</v>
      </c>
      <c r="AD156" s="1">
        <f t="shared" si="69"/>
        <v>3.0681310407880066E-4</v>
      </c>
      <c r="AE156" s="1">
        <f t="shared" si="58"/>
        <v>1.5349018453544272E-4</v>
      </c>
      <c r="AF156" s="1">
        <f t="shared" si="70"/>
        <v>2.1653632721431481E-4</v>
      </c>
      <c r="AG156" s="1">
        <f t="shared" si="59"/>
        <v>1.0832718805327146E-4</v>
      </c>
      <c r="AH156" s="1">
        <f t="shared" si="71"/>
        <v>3.7375081731537093E-4</v>
      </c>
      <c r="AI156" s="1">
        <f t="shared" si="60"/>
        <v>1.8697728733670676E-4</v>
      </c>
      <c r="AJ156" s="1">
        <f t="shared" si="72"/>
        <v>2.3674426330799536E-4</v>
      </c>
      <c r="AK156" s="1">
        <f t="shared" si="61"/>
        <v>1.1843666447023319E-4</v>
      </c>
      <c r="AL156" s="1">
        <f t="shared" si="73"/>
        <v>2.867241113555214E-4</v>
      </c>
      <c r="AM156" s="1">
        <f t="shared" si="74"/>
        <v>1.5862751925739625E-4</v>
      </c>
      <c r="AN156" s="1">
        <f t="shared" si="75"/>
        <v>3.7519018460709786E-4</v>
      </c>
      <c r="AO156" s="1">
        <f t="shared" si="76"/>
        <v>3.1766606880917741E-4</v>
      </c>
      <c r="AP156" s="1">
        <f t="shared" si="77"/>
        <v>3.4046104877119966E-4</v>
      </c>
    </row>
    <row r="157" spans="2:42" x14ac:dyDescent="0.3">
      <c r="B157" s="1">
        <v>0.32615539464117194</v>
      </c>
      <c r="C157" s="1"/>
      <c r="D157" s="4"/>
      <c r="E157" s="1"/>
      <c r="G157" s="4"/>
      <c r="H157" s="4"/>
      <c r="I157" s="1">
        <f t="shared" si="62"/>
        <v>5.031913202436062</v>
      </c>
      <c r="M157" s="1">
        <f t="shared" si="53"/>
        <v>0.50029576079410298</v>
      </c>
      <c r="N157" s="1">
        <f t="shared" si="54"/>
        <v>1.2315112177442749</v>
      </c>
      <c r="O157" s="1">
        <f t="shared" si="55"/>
        <v>1.1671865817974105</v>
      </c>
      <c r="P157" s="1">
        <f t="shared" si="56"/>
        <v>1.1700595106269172</v>
      </c>
      <c r="R157" s="21">
        <f t="shared" si="63"/>
        <v>0.50029576079410298</v>
      </c>
      <c r="S157" s="21">
        <f t="shared" si="64"/>
        <v>1.2315112177442749</v>
      </c>
      <c r="T157" s="21">
        <f t="shared" si="65"/>
        <v>1.1671865817974105</v>
      </c>
      <c r="U157" s="21">
        <f t="shared" si="66"/>
        <v>1.1700595106269172</v>
      </c>
      <c r="Y157" s="21">
        <f t="shared" si="67"/>
        <v>5.0524290303899235</v>
      </c>
      <c r="Z157" s="21">
        <f t="shared" si="68"/>
        <v>5.0524290303899235</v>
      </c>
      <c r="AB157" s="21">
        <f t="shared" si="57"/>
        <v>-2.0515827953861532E-2</v>
      </c>
      <c r="AD157" s="1">
        <f t="shared" si="69"/>
        <v>2.1522789876551938E-4</v>
      </c>
      <c r="AE157" s="1">
        <f t="shared" si="58"/>
        <v>7.019774025965817E-5</v>
      </c>
      <c r="AF157" s="1">
        <f t="shared" si="70"/>
        <v>1.5189917931526865E-4</v>
      </c>
      <c r="AG157" s="1">
        <f t="shared" si="59"/>
        <v>4.9542736775241587E-5</v>
      </c>
      <c r="AH157" s="1">
        <f t="shared" si="71"/>
        <v>2.621843787090087E-4</v>
      </c>
      <c r="AI157" s="1">
        <f t="shared" si="60"/>
        <v>8.5512849506587203E-5</v>
      </c>
      <c r="AJ157" s="1">
        <f t="shared" si="72"/>
        <v>1.6607494810092554E-4</v>
      </c>
      <c r="AK157" s="1">
        <f t="shared" si="61"/>
        <v>5.4166240237869517E-5</v>
      </c>
      <c r="AL157" s="1">
        <f t="shared" si="73"/>
        <v>2.0113556817511304E-4</v>
      </c>
      <c r="AM157" s="1">
        <f t="shared" si="74"/>
        <v>1.0062727210292234E-4</v>
      </c>
      <c r="AN157" s="1">
        <f t="shared" si="75"/>
        <v>2.4770070849502009E-4</v>
      </c>
      <c r="AO157" s="1">
        <f t="shared" si="76"/>
        <v>2.3476273629619021E-4</v>
      </c>
      <c r="AP157" s="1">
        <f t="shared" si="77"/>
        <v>2.353405844686397E-4</v>
      </c>
    </row>
    <row r="158" spans="2:42" x14ac:dyDescent="0.3">
      <c r="B158" s="1">
        <v>0.84252801482055983</v>
      </c>
      <c r="C158" s="1"/>
      <c r="D158" s="4"/>
      <c r="E158" s="1"/>
      <c r="G158" s="4"/>
      <c r="H158" s="4"/>
      <c r="I158" s="1">
        <f t="shared" si="62"/>
        <v>5.2129560367272418</v>
      </c>
      <c r="M158" s="1">
        <f t="shared" si="53"/>
        <v>0.65731325690579134</v>
      </c>
      <c r="N158" s="1">
        <f t="shared" si="54"/>
        <v>1.4599547335114909</v>
      </c>
      <c r="O158" s="1">
        <f t="shared" si="55"/>
        <v>0.99140843522514788</v>
      </c>
      <c r="P158" s="1">
        <f t="shared" si="56"/>
        <v>1.2215355802179519</v>
      </c>
      <c r="R158" s="21">
        <f t="shared" si="63"/>
        <v>0.65731325690579134</v>
      </c>
      <c r="S158" s="21">
        <f t="shared" si="64"/>
        <v>1.4599547335114909</v>
      </c>
      <c r="T158" s="21">
        <f t="shared" si="65"/>
        <v>0.99140843522514788</v>
      </c>
      <c r="U158" s="21">
        <f t="shared" si="66"/>
        <v>1.2215355802179519</v>
      </c>
      <c r="Y158" s="21">
        <f t="shared" si="67"/>
        <v>5.206342781396037</v>
      </c>
      <c r="Z158" s="21">
        <f t="shared" si="68"/>
        <v>5.206342781396037</v>
      </c>
      <c r="AB158" s="21">
        <f t="shared" si="57"/>
        <v>6.6132553312048259E-3</v>
      </c>
      <c r="AD158" s="1">
        <f t="shared" si="69"/>
        <v>-6.9378484365149713E-5</v>
      </c>
      <c r="AE158" s="1">
        <f t="shared" si="58"/>
        <v>-5.8453316703428833E-5</v>
      </c>
      <c r="AF158" s="1">
        <f t="shared" si="70"/>
        <v>-4.896453897310346E-5</v>
      </c>
      <c r="AG158" s="1">
        <f t="shared" si="59"/>
        <v>-4.1253995817612791E-5</v>
      </c>
      <c r="AH158" s="1">
        <f t="shared" si="71"/>
        <v>-8.4514855756997136E-5</v>
      </c>
      <c r="AI158" s="1">
        <f t="shared" si="60"/>
        <v>-7.1206133643788753E-5</v>
      </c>
      <c r="AJ158" s="1">
        <f t="shared" si="72"/>
        <v>-5.3534082971352227E-5</v>
      </c>
      <c r="AK158" s="1">
        <f t="shared" si="61"/>
        <v>-4.5103964651092531E-5</v>
      </c>
      <c r="AL158" s="1">
        <f t="shared" si="73"/>
        <v>-6.483583658043947E-5</v>
      </c>
      <c r="AM158" s="1">
        <f t="shared" si="74"/>
        <v>-4.2617454906900312E-5</v>
      </c>
      <c r="AN158" s="1">
        <f t="shared" si="75"/>
        <v>-9.4657386516790076E-5</v>
      </c>
      <c r="AO158" s="1">
        <f t="shared" si="76"/>
        <v>-6.4278795290726893E-5</v>
      </c>
      <c r="AP158" s="1">
        <f t="shared" si="77"/>
        <v>-7.9199281256203438E-5</v>
      </c>
    </row>
    <row r="159" spans="2:42" x14ac:dyDescent="0.3">
      <c r="B159" s="1">
        <v>0.45221373769014483</v>
      </c>
      <c r="C159" s="1"/>
      <c r="D159" s="4"/>
      <c r="E159" s="1"/>
      <c r="G159" s="4"/>
      <c r="H159" s="4"/>
      <c r="I159" s="1">
        <f t="shared" si="62"/>
        <v>5.0613491793667071</v>
      </c>
      <c r="M159" s="1">
        <f t="shared" si="53"/>
        <v>0.53862731559780608</v>
      </c>
      <c r="N159" s="1">
        <f t="shared" si="54"/>
        <v>1.2872794942804959</v>
      </c>
      <c r="O159" s="1">
        <f t="shared" si="55"/>
        <v>1.1242751239950564</v>
      </c>
      <c r="P159" s="1">
        <f t="shared" si="56"/>
        <v>1.1826259941811095</v>
      </c>
      <c r="R159" s="21">
        <f t="shared" si="63"/>
        <v>0.53862731559780608</v>
      </c>
      <c r="S159" s="21">
        <f t="shared" si="64"/>
        <v>1.2872794942804959</v>
      </c>
      <c r="T159" s="21">
        <f t="shared" si="65"/>
        <v>1.1242751239950564</v>
      </c>
      <c r="U159" s="21">
        <f t="shared" si="66"/>
        <v>1.1826259941811095</v>
      </c>
      <c r="Y159" s="21">
        <f t="shared" si="67"/>
        <v>5.0900028901688223</v>
      </c>
      <c r="Z159" s="21">
        <f t="shared" si="68"/>
        <v>5.0900028901688223</v>
      </c>
      <c r="AB159" s="21">
        <f t="shared" si="57"/>
        <v>-2.8653710802115206E-2</v>
      </c>
      <c r="AD159" s="1">
        <f t="shared" si="69"/>
        <v>3.0060097899258024E-4</v>
      </c>
      <c r="AE159" s="1">
        <f t="shared" si="58"/>
        <v>1.3593589226355141E-4</v>
      </c>
      <c r="AF159" s="1">
        <f t="shared" si="70"/>
        <v>2.1215205961790668E-4</v>
      </c>
      <c r="AG159" s="1">
        <f t="shared" si="59"/>
        <v>9.5938075838476018E-5</v>
      </c>
      <c r="AH159" s="1">
        <f t="shared" si="71"/>
        <v>3.6618338685893287E-4</v>
      </c>
      <c r="AI159" s="1">
        <f t="shared" si="60"/>
        <v>1.655931580515143E-4</v>
      </c>
      <c r="AJ159" s="1">
        <f t="shared" si="72"/>
        <v>2.3195084034931802E-4</v>
      </c>
      <c r="AK159" s="1">
        <f t="shared" si="61"/>
        <v>1.0489135647473516E-4</v>
      </c>
      <c r="AL159" s="1">
        <f t="shared" si="73"/>
        <v>2.8091873335407062E-4</v>
      </c>
      <c r="AM159" s="1">
        <f t="shared" si="74"/>
        <v>1.5131050324763894E-4</v>
      </c>
      <c r="AN159" s="1">
        <f t="shared" si="75"/>
        <v>3.6162092500594554E-4</v>
      </c>
      <c r="AO159" s="1">
        <f t="shared" si="76"/>
        <v>3.1582994377418191E-4</v>
      </c>
      <c r="AP159" s="1">
        <f t="shared" si="77"/>
        <v>3.3222179631695579E-4</v>
      </c>
    </row>
    <row r="160" spans="2:42" x14ac:dyDescent="0.3">
      <c r="B160" s="1">
        <v>0.89120954037078337</v>
      </c>
      <c r="C160" s="1"/>
      <c r="D160" s="4"/>
      <c r="E160" s="1"/>
      <c r="G160" s="4"/>
      <c r="H160" s="4"/>
      <c r="I160" s="1">
        <f t="shared" si="62"/>
        <v>5.2382763334543707</v>
      </c>
      <c r="M160" s="1">
        <f t="shared" si="53"/>
        <v>0.67211623241238927</v>
      </c>
      <c r="N160" s="1">
        <f t="shared" si="54"/>
        <v>1.4814914657374194</v>
      </c>
      <c r="O160" s="1">
        <f t="shared" si="55"/>
        <v>0.97483678134745821</v>
      </c>
      <c r="P160" s="1">
        <f t="shared" si="56"/>
        <v>1.2263885362018507</v>
      </c>
      <c r="R160" s="21">
        <f t="shared" si="63"/>
        <v>0.67211623241238927</v>
      </c>
      <c r="S160" s="21">
        <f t="shared" si="64"/>
        <v>1.4814914657374194</v>
      </c>
      <c r="T160" s="21">
        <f t="shared" si="65"/>
        <v>0.97483678134745821</v>
      </c>
      <c r="U160" s="21">
        <f t="shared" si="66"/>
        <v>1.2263885362018507</v>
      </c>
      <c r="Y160" s="21">
        <f t="shared" si="67"/>
        <v>5.2208531483468095</v>
      </c>
      <c r="Z160" s="21">
        <f t="shared" si="68"/>
        <v>5.2208531483468095</v>
      </c>
      <c r="AB160" s="21">
        <f t="shared" si="57"/>
        <v>1.7423185107561245E-2</v>
      </c>
      <c r="AD160" s="1">
        <f t="shared" si="69"/>
        <v>-1.8278353322792769E-4</v>
      </c>
      <c r="AE160" s="1">
        <f t="shared" si="58"/>
        <v>-1.6289842863540926E-4</v>
      </c>
      <c r="AF160" s="1">
        <f t="shared" si="70"/>
        <v>-1.2900125331760846E-4</v>
      </c>
      <c r="AG160" s="1">
        <f t="shared" si="59"/>
        <v>-1.1496714767644083E-4</v>
      </c>
      <c r="AH160" s="1">
        <f t="shared" si="71"/>
        <v>-2.2266159439586174E-4</v>
      </c>
      <c r="AI160" s="1">
        <f t="shared" si="60"/>
        <v>-1.9843813719976172E-4</v>
      </c>
      <c r="AJ160" s="1">
        <f t="shared" si="72"/>
        <v>-1.4104010664343781E-4</v>
      </c>
      <c r="AK160" s="1">
        <f t="shared" si="61"/>
        <v>-1.2569628861554448E-4</v>
      </c>
      <c r="AL160" s="1">
        <f t="shared" si="73"/>
        <v>-1.7081554027020829E-4</v>
      </c>
      <c r="AM160" s="1">
        <f t="shared" si="74"/>
        <v>-1.1480789736389916E-4</v>
      </c>
      <c r="AN160" s="1">
        <f t="shared" si="75"/>
        <v>-2.5306176512564005E-4</v>
      </c>
      <c r="AO160" s="1">
        <f t="shared" si="76"/>
        <v>-1.6651727148113697E-4</v>
      </c>
      <c r="AP160" s="1">
        <f t="shared" si="77"/>
        <v>-2.0948622039250903E-4</v>
      </c>
    </row>
    <row r="161" spans="2:42" x14ac:dyDescent="0.3">
      <c r="B161" s="1">
        <v>0.72597450590376378</v>
      </c>
      <c r="C161" s="1"/>
      <c r="D161" s="4"/>
      <c r="E161" s="1"/>
      <c r="G161" s="4"/>
      <c r="H161" s="4"/>
      <c r="I161" s="1">
        <f t="shared" si="62"/>
        <v>5.1581116949666646</v>
      </c>
      <c r="M161" s="1">
        <f t="shared" si="53"/>
        <v>0.62187191199716918</v>
      </c>
      <c r="N161" s="1">
        <f t="shared" si="54"/>
        <v>1.4083914005394433</v>
      </c>
      <c r="O161" s="1">
        <f t="shared" si="55"/>
        <v>1.0310843571723083</v>
      </c>
      <c r="P161" s="1">
        <f t="shared" si="56"/>
        <v>1.2099166130194277</v>
      </c>
      <c r="R161" s="21">
        <f t="shared" si="63"/>
        <v>0.62187191199716918</v>
      </c>
      <c r="S161" s="21">
        <f t="shared" si="64"/>
        <v>1.4083914005394433</v>
      </c>
      <c r="T161" s="21">
        <f t="shared" si="65"/>
        <v>1.0310843571723083</v>
      </c>
      <c r="U161" s="21">
        <f t="shared" si="66"/>
        <v>1.2099166130194277</v>
      </c>
      <c r="Y161" s="21">
        <f t="shared" si="67"/>
        <v>5.1716020010965771</v>
      </c>
      <c r="Z161" s="21">
        <f t="shared" si="68"/>
        <v>5.1716020010965771</v>
      </c>
      <c r="AB161" s="21">
        <f t="shared" si="57"/>
        <v>-1.3490306129912533E-2</v>
      </c>
      <c r="AD161" s="1">
        <f t="shared" si="69"/>
        <v>1.4152440001809332E-4</v>
      </c>
      <c r="AE161" s="1">
        <f t="shared" si="58"/>
        <v>1.0274310637646192E-4</v>
      </c>
      <c r="AF161" s="1">
        <f t="shared" si="70"/>
        <v>9.9882219448021526E-5</v>
      </c>
      <c r="AG161" s="1">
        <f t="shared" si="59"/>
        <v>7.2511944912348735E-5</v>
      </c>
      <c r="AH161" s="1">
        <f t="shared" si="71"/>
        <v>1.7240091597666755E-4</v>
      </c>
      <c r="AI161" s="1">
        <f t="shared" si="60"/>
        <v>1.2515866979351752E-4</v>
      </c>
      <c r="AJ161" s="1">
        <f t="shared" si="72"/>
        <v>1.0920358151907433E-4</v>
      </c>
      <c r="AK161" s="1">
        <f t="shared" si="61"/>
        <v>7.9279016136231373E-5</v>
      </c>
      <c r="AL161" s="1">
        <f t="shared" si="73"/>
        <v>1.3225790323443659E-4</v>
      </c>
      <c r="AM161" s="1">
        <f t="shared" si="74"/>
        <v>8.2247475161135672E-5</v>
      </c>
      <c r="AN161" s="1">
        <f t="shared" si="75"/>
        <v>1.8627089356875831E-4</v>
      </c>
      <c r="AO161" s="1">
        <f t="shared" si="76"/>
        <v>1.363690551374364E-4</v>
      </c>
      <c r="AP161" s="1">
        <f t="shared" si="77"/>
        <v>1.6002103432646072E-4</v>
      </c>
    </row>
    <row r="162" spans="2:42" x14ac:dyDescent="0.3">
      <c r="B162" s="1">
        <v>1.6554001875669244E-2</v>
      </c>
      <c r="C162" s="1"/>
      <c r="D162" s="4"/>
      <c r="E162" s="1"/>
      <c r="G162" s="4"/>
      <c r="H162" s="4"/>
      <c r="I162" s="1">
        <f t="shared" si="62"/>
        <v>5.0000822104934297</v>
      </c>
      <c r="M162" s="1">
        <f t="shared" si="53"/>
        <v>0.40615282295235111</v>
      </c>
      <c r="N162" s="1">
        <f t="shared" si="54"/>
        <v>1.0945434005404739</v>
      </c>
      <c r="O162" s="1">
        <f t="shared" si="55"/>
        <v>1.27257783778152</v>
      </c>
      <c r="P162" s="1">
        <f t="shared" si="56"/>
        <v>1.139196017450339</v>
      </c>
      <c r="R162" s="21">
        <f t="shared" si="63"/>
        <v>0.40615282295235111</v>
      </c>
      <c r="S162" s="21">
        <f t="shared" si="64"/>
        <v>1.0945434005404739</v>
      </c>
      <c r="T162" s="21">
        <f t="shared" si="65"/>
        <v>1.27257783778152</v>
      </c>
      <c r="U162" s="21">
        <f t="shared" si="66"/>
        <v>1.139196017450339</v>
      </c>
      <c r="Y162" s="21">
        <f t="shared" si="67"/>
        <v>4.960147004164944</v>
      </c>
      <c r="Z162" s="21">
        <f t="shared" si="68"/>
        <v>4.960147004164944</v>
      </c>
      <c r="AB162" s="21">
        <f t="shared" si="57"/>
        <v>3.9935206328485684E-2</v>
      </c>
      <c r="AD162" s="1">
        <f t="shared" si="69"/>
        <v>-4.189531401889947E-4</v>
      </c>
      <c r="AE162" s="1">
        <f t="shared" si="58"/>
        <v>-6.9353510685061383E-6</v>
      </c>
      <c r="AF162" s="1">
        <f t="shared" si="70"/>
        <v>-2.9568024652600581E-4</v>
      </c>
      <c r="AG162" s="1">
        <f t="shared" si="59"/>
        <v>-4.8946913555898449E-6</v>
      </c>
      <c r="AH162" s="1">
        <f t="shared" si="71"/>
        <v>-5.1035655413942652E-4</v>
      </c>
      <c r="AI162" s="1">
        <f t="shared" si="60"/>
        <v>-8.4484433544841587E-6</v>
      </c>
      <c r="AJ162" s="1">
        <f t="shared" si="72"/>
        <v>-3.2327417315637414E-4</v>
      </c>
      <c r="AK162" s="1">
        <f t="shared" si="61"/>
        <v>-5.3514812687860412E-6</v>
      </c>
      <c r="AL162" s="1">
        <f t="shared" si="73"/>
        <v>-3.9152163067142826E-4</v>
      </c>
      <c r="AM162" s="1">
        <f t="shared" si="74"/>
        <v>-1.590176155441084E-4</v>
      </c>
      <c r="AN162" s="1">
        <f t="shared" si="75"/>
        <v>-4.2853741702025659E-4</v>
      </c>
      <c r="AO162" s="1">
        <f t="shared" si="76"/>
        <v>-4.9824175020454103E-4</v>
      </c>
      <c r="AP162" s="1">
        <f t="shared" si="77"/>
        <v>-4.4601988240655356E-4</v>
      </c>
    </row>
    <row r="163" spans="2:42" x14ac:dyDescent="0.3">
      <c r="B163" s="1">
        <v>0.44148478927572343</v>
      </c>
      <c r="C163" s="1"/>
      <c r="D163" s="4"/>
      <c r="E163" s="1"/>
      <c r="G163" s="4"/>
      <c r="H163" s="4"/>
      <c r="I163" s="1">
        <f t="shared" si="62"/>
        <v>5.0584726457485489</v>
      </c>
      <c r="M163" s="1">
        <f t="shared" si="53"/>
        <v>0.5353648796162882</v>
      </c>
      <c r="N163" s="1">
        <f t="shared" si="54"/>
        <v>1.2825330019211141</v>
      </c>
      <c r="O163" s="1">
        <f t="shared" si="55"/>
        <v>1.1279273599836748</v>
      </c>
      <c r="P163" s="1">
        <f t="shared" si="56"/>
        <v>1.1815564485204051</v>
      </c>
      <c r="R163" s="21">
        <f t="shared" si="63"/>
        <v>0.5353648796162882</v>
      </c>
      <c r="S163" s="21">
        <f t="shared" si="64"/>
        <v>1.2825330019211141</v>
      </c>
      <c r="T163" s="21">
        <f t="shared" si="65"/>
        <v>1.1279273599836748</v>
      </c>
      <c r="U163" s="21">
        <f t="shared" si="66"/>
        <v>1.1815564485204051</v>
      </c>
      <c r="Y163" s="21">
        <f t="shared" si="67"/>
        <v>5.0868049423492012</v>
      </c>
      <c r="Z163" s="21">
        <f t="shared" si="68"/>
        <v>5.0868049423492012</v>
      </c>
      <c r="AB163" s="21">
        <f t="shared" si="57"/>
        <v>-2.8332296600652285E-2</v>
      </c>
      <c r="AD163" s="1">
        <f t="shared" si="69"/>
        <v>2.9722907982429733E-4</v>
      </c>
      <c r="AE163" s="1">
        <f t="shared" si="58"/>
        <v>1.3122211767284709E-4</v>
      </c>
      <c r="AF163" s="1">
        <f t="shared" si="70"/>
        <v>2.0977230904033856E-4</v>
      </c>
      <c r="AG163" s="1">
        <f t="shared" si="59"/>
        <v>9.2611283652555801E-5</v>
      </c>
      <c r="AH163" s="1">
        <f t="shared" si="71"/>
        <v>3.6207583717054969E-4</v>
      </c>
      <c r="AI163" s="1">
        <f t="shared" si="60"/>
        <v>1.5985097467507127E-4</v>
      </c>
      <c r="AJ163" s="1">
        <f t="shared" si="72"/>
        <v>2.2934900302903539E-4</v>
      </c>
      <c r="AK163" s="1">
        <f t="shared" si="61"/>
        <v>1.0125409627287094E-4</v>
      </c>
      <c r="AL163" s="1">
        <f t="shared" si="73"/>
        <v>2.7776761373188514E-4</v>
      </c>
      <c r="AM163" s="1">
        <f t="shared" si="74"/>
        <v>1.4870702508687432E-4</v>
      </c>
      <c r="AN163" s="1">
        <f t="shared" si="75"/>
        <v>3.5624613147601909E-4</v>
      </c>
      <c r="AO163" s="1">
        <f t="shared" si="76"/>
        <v>3.1330169124557032E-4</v>
      </c>
      <c r="AP163" s="1">
        <f t="shared" si="77"/>
        <v>3.2819811519503388E-4</v>
      </c>
    </row>
    <row r="164" spans="2:42" x14ac:dyDescent="0.3">
      <c r="B164" s="1">
        <v>0.99093468721268918</v>
      </c>
      <c r="C164" s="1"/>
      <c r="D164" s="4"/>
      <c r="E164" s="1"/>
      <c r="G164" s="4"/>
      <c r="H164" s="4"/>
      <c r="I164" s="1">
        <f t="shared" si="62"/>
        <v>5.2945854662963932</v>
      </c>
      <c r="M164" s="1">
        <f t="shared" si="53"/>
        <v>0.70244044451148691</v>
      </c>
      <c r="N164" s="1">
        <f t="shared" si="54"/>
        <v>1.5256099225739816</v>
      </c>
      <c r="O164" s="1">
        <f t="shared" si="55"/>
        <v>0.94088939375663827</v>
      </c>
      <c r="P164" s="1">
        <f t="shared" si="56"/>
        <v>1.2363299203848981</v>
      </c>
      <c r="R164" s="21">
        <f t="shared" si="63"/>
        <v>0.70244044451148691</v>
      </c>
      <c r="S164" s="21">
        <f t="shared" si="64"/>
        <v>1.5256099225739816</v>
      </c>
      <c r="T164" s="21">
        <f t="shared" si="65"/>
        <v>0.94088939375663827</v>
      </c>
      <c r="U164" s="21">
        <f t="shared" si="66"/>
        <v>1.2363299203848981</v>
      </c>
      <c r="Y164" s="21">
        <f t="shared" si="67"/>
        <v>5.2505779455576702</v>
      </c>
      <c r="Z164" s="21">
        <f t="shared" si="68"/>
        <v>5.2505779455576702</v>
      </c>
      <c r="AB164" s="21">
        <f t="shared" si="57"/>
        <v>4.4007520738722938E-2</v>
      </c>
      <c r="AD164" s="1">
        <f t="shared" si="69"/>
        <v>-4.6167506569933886E-4</v>
      </c>
      <c r="AE164" s="1">
        <f t="shared" si="58"/>
        <v>-4.5748983682267208E-4</v>
      </c>
      <c r="AF164" s="1">
        <f t="shared" si="70"/>
        <v>-3.2583166026470164E-4</v>
      </c>
      <c r="AG164" s="1">
        <f t="shared" si="59"/>
        <v>-3.2287789434839331E-4</v>
      </c>
      <c r="AH164" s="1">
        <f t="shared" si="71"/>
        <v>-5.6239916367763101E-4</v>
      </c>
      <c r="AI164" s="1">
        <f t="shared" si="60"/>
        <v>-5.5730083934757131E-4</v>
      </c>
      <c r="AJ164" s="1">
        <f t="shared" si="72"/>
        <v>-3.5623942349146998E-4</v>
      </c>
      <c r="AK164" s="1">
        <f t="shared" si="61"/>
        <v>-3.530100016903485E-4</v>
      </c>
      <c r="AL164" s="1">
        <f t="shared" si="73"/>
        <v>-4.3144628175218564E-4</v>
      </c>
      <c r="AM164" s="1">
        <f t="shared" si="74"/>
        <v>-3.0306531793683353E-4</v>
      </c>
      <c r="AN164" s="1">
        <f t="shared" si="75"/>
        <v>-6.5821872849878421E-4</v>
      </c>
      <c r="AO164" s="1">
        <f t="shared" si="76"/>
        <v>-4.0594323047636968E-4</v>
      </c>
      <c r="AP164" s="1">
        <f t="shared" si="77"/>
        <v>-5.3340994716904002E-4</v>
      </c>
    </row>
    <row r="165" spans="2:42" x14ac:dyDescent="0.3">
      <c r="B165" s="1">
        <v>0.76387627134621905</v>
      </c>
      <c r="C165" s="1"/>
      <c r="D165" s="4"/>
      <c r="E165" s="1"/>
      <c r="G165" s="4"/>
      <c r="H165" s="4"/>
      <c r="I165" s="1">
        <f t="shared" si="62"/>
        <v>5.1750520873777406</v>
      </c>
      <c r="M165" s="1">
        <f t="shared" si="53"/>
        <v>0.63339700080981642</v>
      </c>
      <c r="N165" s="1">
        <f t="shared" si="54"/>
        <v>1.4251591612864227</v>
      </c>
      <c r="O165" s="1">
        <f t="shared" si="55"/>
        <v>1.0181822360664741</v>
      </c>
      <c r="P165" s="1">
        <f t="shared" si="56"/>
        <v>1.2136949580348182</v>
      </c>
      <c r="R165" s="21">
        <f t="shared" si="63"/>
        <v>0.63339700080981642</v>
      </c>
      <c r="S165" s="21">
        <f t="shared" si="64"/>
        <v>1.4251591612864227</v>
      </c>
      <c r="T165" s="21">
        <f t="shared" si="65"/>
        <v>1.0181822360664741</v>
      </c>
      <c r="U165" s="21">
        <f t="shared" si="66"/>
        <v>1.2136949580348182</v>
      </c>
      <c r="Y165" s="21">
        <f t="shared" si="67"/>
        <v>5.1828992749275855</v>
      </c>
      <c r="Z165" s="21">
        <f t="shared" si="68"/>
        <v>5.1828992749275855</v>
      </c>
      <c r="AB165" s="21">
        <f t="shared" si="57"/>
        <v>-7.8471875498449251E-3</v>
      </c>
      <c r="AD165" s="1">
        <f t="shared" si="69"/>
        <v>8.2323447602034177E-5</v>
      </c>
      <c r="AE165" s="1">
        <f t="shared" si="58"/>
        <v>6.2884928198607699E-5</v>
      </c>
      <c r="AF165" s="1">
        <f t="shared" si="70"/>
        <v>5.8100572467029336E-5</v>
      </c>
      <c r="AG165" s="1">
        <f t="shared" si="59"/>
        <v>4.4381648659195165E-5</v>
      </c>
      <c r="AH165" s="1">
        <f t="shared" si="71"/>
        <v>1.0028403420988478E-4</v>
      </c>
      <c r="AI165" s="1">
        <f t="shared" si="60"/>
        <v>7.660459412780346E-5</v>
      </c>
      <c r="AJ165" s="1">
        <f t="shared" si="72"/>
        <v>6.3522723431370465E-5</v>
      </c>
      <c r="AK165" s="1">
        <f t="shared" si="61"/>
        <v>4.8523501120512371E-5</v>
      </c>
      <c r="AL165" s="1">
        <f t="shared" si="73"/>
        <v>7.6933211272989463E-5</v>
      </c>
      <c r="AM165" s="1">
        <f t="shared" si="74"/>
        <v>4.8729265282979483E-5</v>
      </c>
      <c r="AN165" s="1">
        <f t="shared" si="75"/>
        <v>1.0964207085288483E-4</v>
      </c>
      <c r="AO165" s="1">
        <f t="shared" si="76"/>
        <v>7.8332029081706886E-5</v>
      </c>
      <c r="AP165" s="1">
        <f t="shared" si="77"/>
        <v>9.3373450627454746E-5</v>
      </c>
    </row>
    <row r="166" spans="2:42" x14ac:dyDescent="0.3">
      <c r="B166" s="1">
        <v>0.38188255250474479</v>
      </c>
      <c r="C166" s="1"/>
      <c r="D166" s="4"/>
      <c r="E166" s="1"/>
      <c r="G166" s="4"/>
      <c r="H166" s="4"/>
      <c r="I166" s="1">
        <f t="shared" si="62"/>
        <v>5.043750285172262</v>
      </c>
      <c r="M166" s="1">
        <f t="shared" si="53"/>
        <v>0.51724115729889664</v>
      </c>
      <c r="N166" s="1">
        <f t="shared" si="54"/>
        <v>1.2561649413705327</v>
      </c>
      <c r="O166" s="1">
        <f t="shared" si="55"/>
        <v>1.1482165277314229</v>
      </c>
      <c r="P166" s="1">
        <f t="shared" si="56"/>
        <v>1.1756148304564218</v>
      </c>
      <c r="R166" s="21">
        <f t="shared" si="63"/>
        <v>0.51724115729889664</v>
      </c>
      <c r="S166" s="21">
        <f t="shared" si="64"/>
        <v>1.2561649413705327</v>
      </c>
      <c r="T166" s="21">
        <f t="shared" si="65"/>
        <v>1.1482165277314229</v>
      </c>
      <c r="U166" s="21">
        <f t="shared" si="66"/>
        <v>1.1756148304564218</v>
      </c>
      <c r="Y166" s="21">
        <f t="shared" si="67"/>
        <v>5.0690394693723633</v>
      </c>
      <c r="Z166" s="21">
        <f t="shared" si="68"/>
        <v>5.0690394693723633</v>
      </c>
      <c r="AB166" s="21">
        <f t="shared" si="57"/>
        <v>-2.5289184200101289E-2</v>
      </c>
      <c r="AD166" s="1">
        <f t="shared" si="69"/>
        <v>2.6530432937548062E-4</v>
      </c>
      <c r="AE166" s="1">
        <f t="shared" si="58"/>
        <v>1.0131509449246808E-4</v>
      </c>
      <c r="AF166" s="1">
        <f t="shared" si="70"/>
        <v>1.8724110643679906E-4</v>
      </c>
      <c r="AG166" s="1">
        <f t="shared" si="59"/>
        <v>7.1504111659897432E-5</v>
      </c>
      <c r="AH166" s="1">
        <f t="shared" si="71"/>
        <v>3.2318603287532653E-4</v>
      </c>
      <c r="AI166" s="1">
        <f t="shared" si="60"/>
        <v>1.2341910716831206E-4</v>
      </c>
      <c r="AJ166" s="1">
        <f t="shared" si="72"/>
        <v>2.0471510889016076E-4</v>
      </c>
      <c r="AK166" s="1">
        <f t="shared" si="61"/>
        <v>7.8177128319261365E-5</v>
      </c>
      <c r="AL166" s="1">
        <f t="shared" si="73"/>
        <v>2.4793317843236555E-4</v>
      </c>
      <c r="AM166" s="1">
        <f t="shared" si="74"/>
        <v>1.282412441451506E-4</v>
      </c>
      <c r="AN166" s="1">
        <f t="shared" si="75"/>
        <v>3.1144496654930231E-4</v>
      </c>
      <c r="AO166" s="1">
        <f t="shared" si="76"/>
        <v>2.8468097324902607E-4</v>
      </c>
      <c r="AP166" s="1">
        <f t="shared" si="77"/>
        <v>2.914739215272872E-4</v>
      </c>
    </row>
    <row r="167" spans="2:42" x14ac:dyDescent="0.3">
      <c r="B167" s="1">
        <v>0.16523688028234118</v>
      </c>
      <c r="C167" s="1"/>
      <c r="D167" s="4"/>
      <c r="E167" s="1"/>
      <c r="G167" s="4"/>
      <c r="H167" s="4"/>
      <c r="I167" s="1">
        <f t="shared" si="62"/>
        <v>5.0081909679816325</v>
      </c>
      <c r="M167" s="1">
        <f t="shared" si="53"/>
        <v>0.45136399869978699</v>
      </c>
      <c r="N167" s="1">
        <f t="shared" si="54"/>
        <v>1.1603207832874716</v>
      </c>
      <c r="O167" s="1">
        <f t="shared" si="55"/>
        <v>1.2219647731611021</v>
      </c>
      <c r="P167" s="1">
        <f t="shared" si="56"/>
        <v>1.1540178919974409</v>
      </c>
      <c r="R167" s="21">
        <f t="shared" si="63"/>
        <v>0.45136399869978699</v>
      </c>
      <c r="S167" s="21">
        <f t="shared" si="64"/>
        <v>1.1603207832874716</v>
      </c>
      <c r="T167" s="21">
        <f t="shared" si="65"/>
        <v>1.2219647731611021</v>
      </c>
      <c r="U167" s="21">
        <f t="shared" si="66"/>
        <v>1.1540178919974409</v>
      </c>
      <c r="Y167" s="21">
        <f t="shared" si="67"/>
        <v>5.0044644962852791</v>
      </c>
      <c r="Z167" s="21">
        <f t="shared" si="68"/>
        <v>5.0044644962852791</v>
      </c>
      <c r="AB167" s="21">
        <f t="shared" si="57"/>
        <v>3.7264716963534283E-3</v>
      </c>
      <c r="AD167" s="1">
        <f t="shared" si="69"/>
        <v>-3.9093751167101563E-5</v>
      </c>
      <c r="AE167" s="1">
        <f t="shared" si="58"/>
        <v>-6.459729481385997E-6</v>
      </c>
      <c r="AF167" s="1">
        <f t="shared" si="70"/>
        <v>-2.759079446808873E-5</v>
      </c>
      <c r="AG167" s="1">
        <f t="shared" si="59"/>
        <v>-4.5590168024182586E-6</v>
      </c>
      <c r="AH167" s="1">
        <f t="shared" si="71"/>
        <v>-4.7622872870759883E-5</v>
      </c>
      <c r="AI167" s="1">
        <f t="shared" si="60"/>
        <v>-7.8690549432469045E-6</v>
      </c>
      <c r="AJ167" s="1">
        <f t="shared" si="72"/>
        <v>-3.0165665015482738E-5</v>
      </c>
      <c r="AK167" s="1">
        <f t="shared" si="61"/>
        <v>-4.9844803788005292E-6</v>
      </c>
      <c r="AL167" s="1">
        <f t="shared" si="73"/>
        <v>-3.6534036238759104E-5</v>
      </c>
      <c r="AM167" s="1">
        <f t="shared" si="74"/>
        <v>-1.6490148685369236E-5</v>
      </c>
      <c r="AN167" s="1">
        <f t="shared" si="75"/>
        <v>-4.2391201545209837E-5</v>
      </c>
      <c r="AO167" s="1">
        <f t="shared" si="76"/>
        <v>-4.4643305305154753E-5</v>
      </c>
      <c r="AP167" s="1">
        <f t="shared" si="77"/>
        <v>-4.2160931486410896E-5</v>
      </c>
    </row>
    <row r="168" spans="2:42" x14ac:dyDescent="0.3">
      <c r="B168" s="1">
        <v>0.15485617587501199</v>
      </c>
      <c r="C168" s="1"/>
      <c r="D168" s="4"/>
      <c r="E168" s="1"/>
      <c r="G168" s="4"/>
      <c r="H168" s="4"/>
      <c r="I168" s="1">
        <f t="shared" si="62"/>
        <v>5.0071941305619898</v>
      </c>
      <c r="M168" s="1">
        <f t="shared" si="53"/>
        <v>0.44820745602068801</v>
      </c>
      <c r="N168" s="1">
        <f t="shared" si="54"/>
        <v>1.1557283542579722</v>
      </c>
      <c r="O168" s="1">
        <f t="shared" si="55"/>
        <v>1.2254984635806307</v>
      </c>
      <c r="P168" s="1">
        <f t="shared" si="56"/>
        <v>1.1529830620285513</v>
      </c>
      <c r="R168" s="21">
        <f t="shared" si="63"/>
        <v>0.44820745602068801</v>
      </c>
      <c r="S168" s="21">
        <f t="shared" si="64"/>
        <v>1.1557283542579722</v>
      </c>
      <c r="T168" s="21">
        <f t="shared" si="65"/>
        <v>1.2254984635806307</v>
      </c>
      <c r="U168" s="21">
        <f t="shared" si="66"/>
        <v>1.1529830620285513</v>
      </c>
      <c r="Y168" s="21">
        <f t="shared" si="67"/>
        <v>5.0013703485884804</v>
      </c>
      <c r="Z168" s="21">
        <f t="shared" si="68"/>
        <v>5.0013703485884804</v>
      </c>
      <c r="AB168" s="21">
        <f t="shared" si="57"/>
        <v>5.8237819735094121E-3</v>
      </c>
      <c r="AD168" s="1">
        <f t="shared" si="69"/>
        <v>-6.1096259914336797E-5</v>
      </c>
      <c r="AE168" s="1">
        <f t="shared" si="58"/>
        <v>-9.4611331705999845E-6</v>
      </c>
      <c r="AF168" s="1">
        <f t="shared" si="70"/>
        <v>-4.3119278650444568E-5</v>
      </c>
      <c r="AG168" s="1">
        <f t="shared" si="59"/>
        <v>-6.6772865982968938E-6</v>
      </c>
      <c r="AH168" s="1">
        <f t="shared" si="71"/>
        <v>-7.4425690344799995E-5</v>
      </c>
      <c r="AI168" s="1">
        <f t="shared" si="60"/>
        <v>-1.1525277793653531E-5</v>
      </c>
      <c r="AJ168" s="1">
        <f t="shared" si="72"/>
        <v>-4.7143322276673507E-5</v>
      </c>
      <c r="AK168" s="1">
        <f t="shared" si="61"/>
        <v>-7.3004346058089237E-6</v>
      </c>
      <c r="AL168" s="1">
        <f t="shared" si="73"/>
        <v>-5.709590170107267E-5</v>
      </c>
      <c r="AM168" s="1">
        <f t="shared" si="74"/>
        <v>-2.5590808850645056E-5</v>
      </c>
      <c r="AN168" s="1">
        <f t="shared" si="75"/>
        <v>-6.5987352507855673E-5</v>
      </c>
      <c r="AO168" s="1">
        <f t="shared" si="76"/>
        <v>-6.9970939811415277E-5</v>
      </c>
      <c r="AP168" s="1">
        <f t="shared" si="77"/>
        <v>-6.583060757258393E-5</v>
      </c>
    </row>
    <row r="169" spans="2:42" x14ac:dyDescent="0.3">
      <c r="B169" s="1">
        <v>0.93089084090871554</v>
      </c>
      <c r="C169" s="1"/>
      <c r="D169" s="4"/>
      <c r="E169" s="1"/>
      <c r="G169" s="4"/>
      <c r="H169" s="4"/>
      <c r="I169" s="1">
        <f t="shared" si="62"/>
        <v>5.2599673273063203</v>
      </c>
      <c r="M169" s="1">
        <f t="shared" si="53"/>
        <v>0.6841824384996853</v>
      </c>
      <c r="N169" s="1">
        <f t="shared" si="54"/>
        <v>1.4990464937362928</v>
      </c>
      <c r="O169" s="1">
        <f t="shared" si="55"/>
        <v>0.96132888958566909</v>
      </c>
      <c r="P169" s="1">
        <f t="shared" si="56"/>
        <v>1.2303442792217725</v>
      </c>
      <c r="R169" s="21">
        <f t="shared" si="63"/>
        <v>0.6841824384996853</v>
      </c>
      <c r="S169" s="21">
        <f t="shared" si="64"/>
        <v>1.4990464937362928</v>
      </c>
      <c r="T169" s="21">
        <f t="shared" si="65"/>
        <v>0.96132888958566909</v>
      </c>
      <c r="U169" s="21">
        <f t="shared" si="66"/>
        <v>1.2303442792217725</v>
      </c>
      <c r="Y169" s="21">
        <f t="shared" si="67"/>
        <v>5.2326808432553289</v>
      </c>
      <c r="Z169" s="21">
        <f t="shared" si="68"/>
        <v>5.2326808432553289</v>
      </c>
      <c r="AB169" s="21">
        <f t="shared" si="57"/>
        <v>2.7286484050991433E-2</v>
      </c>
      <c r="AD169" s="1">
        <f t="shared" si="69"/>
        <v>-2.8625764654496193E-4</v>
      </c>
      <c r="AE169" s="1">
        <f t="shared" si="58"/>
        <v>-2.6647462130878946E-4</v>
      </c>
      <c r="AF169" s="1">
        <f t="shared" si="70"/>
        <v>-2.0202911347599913E-4</v>
      </c>
      <c r="AG169" s="1">
        <f t="shared" si="59"/>
        <v>-1.8806705133171515E-4</v>
      </c>
      <c r="AH169" s="1">
        <f t="shared" si="71"/>
        <v>-3.4871075562494696E-4</v>
      </c>
      <c r="AI169" s="1">
        <f t="shared" si="60"/>
        <v>-3.2461164853762046E-4</v>
      </c>
      <c r="AJ169" s="1">
        <f t="shared" si="72"/>
        <v>-2.2088318506161908E-4</v>
      </c>
      <c r="AK169" s="1">
        <f t="shared" si="61"/>
        <v>-2.0561813388460603E-4</v>
      </c>
      <c r="AL169" s="1">
        <f t="shared" si="73"/>
        <v>-2.6751454951952385E-4</v>
      </c>
      <c r="AM169" s="1">
        <f t="shared" si="74"/>
        <v>-1.8302875682441264E-4</v>
      </c>
      <c r="AN169" s="1">
        <f t="shared" si="75"/>
        <v>-4.010167474806861E-4</v>
      </c>
      <c r="AO169" s="1">
        <f t="shared" si="76"/>
        <v>-2.5716946483761433E-4</v>
      </c>
      <c r="AP169" s="1">
        <f t="shared" si="77"/>
        <v>-3.2913499560993572E-4</v>
      </c>
    </row>
    <row r="170" spans="2:42" x14ac:dyDescent="0.3">
      <c r="B170" s="1">
        <v>0.61906421365418418</v>
      </c>
      <c r="C170" s="1"/>
      <c r="D170" s="4"/>
      <c r="E170" s="1"/>
      <c r="G170" s="4"/>
      <c r="H170" s="4"/>
      <c r="I170" s="1">
        <f t="shared" si="62"/>
        <v>5.1149721501881817</v>
      </c>
      <c r="M170" s="1">
        <f t="shared" si="53"/>
        <v>0.58936285605271155</v>
      </c>
      <c r="N170" s="1">
        <f t="shared" si="54"/>
        <v>1.3610942316370527</v>
      </c>
      <c r="O170" s="1">
        <f t="shared" si="55"/>
        <v>1.0674776365344123</v>
      </c>
      <c r="P170" s="1">
        <f t="shared" si="56"/>
        <v>1.1992589572321681</v>
      </c>
      <c r="R170" s="21">
        <f t="shared" si="63"/>
        <v>0.58936285605271155</v>
      </c>
      <c r="S170" s="21">
        <f t="shared" si="64"/>
        <v>1.3610942316370527</v>
      </c>
      <c r="T170" s="21">
        <f t="shared" si="65"/>
        <v>1.0674776365344123</v>
      </c>
      <c r="U170" s="21">
        <f t="shared" si="66"/>
        <v>1.1992589572321681</v>
      </c>
      <c r="Y170" s="21">
        <f t="shared" si="67"/>
        <v>5.139735547573971</v>
      </c>
      <c r="Z170" s="21">
        <f t="shared" si="68"/>
        <v>5.139735547573971</v>
      </c>
      <c r="AB170" s="21">
        <f t="shared" si="57"/>
        <v>-2.4763397385789254E-2</v>
      </c>
      <c r="AD170" s="1">
        <f t="shared" si="69"/>
        <v>2.5978839350891496E-4</v>
      </c>
      <c r="AE170" s="1">
        <f t="shared" si="58"/>
        <v>1.6082569754408022E-4</v>
      </c>
      <c r="AF170" s="1">
        <f t="shared" si="70"/>
        <v>1.8334818114183163E-4</v>
      </c>
      <c r="AG170" s="1">
        <f t="shared" si="59"/>
        <v>1.1350429758349293E-4</v>
      </c>
      <c r="AH170" s="1">
        <f t="shared" si="71"/>
        <v>3.1646667991751216E-4</v>
      </c>
      <c r="AI170" s="1">
        <f t="shared" si="60"/>
        <v>1.9591319635088507E-4</v>
      </c>
      <c r="AJ170" s="1">
        <f t="shared" si="72"/>
        <v>2.0045888203471053E-4</v>
      </c>
      <c r="AK170" s="1">
        <f t="shared" si="61"/>
        <v>1.2409692017681495E-4</v>
      </c>
      <c r="AL170" s="1">
        <f t="shared" si="73"/>
        <v>2.4277840574303189E-4</v>
      </c>
      <c r="AM170" s="1">
        <f t="shared" si="74"/>
        <v>1.4308457459663731E-4</v>
      </c>
      <c r="AN170" s="1">
        <f t="shared" si="75"/>
        <v>3.3044428762288059E-4</v>
      </c>
      <c r="AO170" s="1">
        <f t="shared" si="76"/>
        <v>2.5916051876416425E-4</v>
      </c>
      <c r="AP170" s="1">
        <f t="shared" si="77"/>
        <v>2.9115417770987666E-4</v>
      </c>
    </row>
    <row r="171" spans="2:42" x14ac:dyDescent="0.3">
      <c r="B171" s="1">
        <v>0.99334542978039309</v>
      </c>
      <c r="C171" s="1"/>
      <c r="D171" s="4"/>
      <c r="E171" s="1"/>
      <c r="G171" s="4"/>
      <c r="H171" s="4"/>
      <c r="I171" s="1">
        <f t="shared" si="62"/>
        <v>5.2960205428596785</v>
      </c>
      <c r="M171" s="1">
        <f t="shared" si="53"/>
        <v>0.70317349802160367</v>
      </c>
      <c r="N171" s="1">
        <f t="shared" si="54"/>
        <v>1.5266764363399221</v>
      </c>
      <c r="O171" s="1">
        <f t="shared" si="55"/>
        <v>0.94006875407929313</v>
      </c>
      <c r="P171" s="1">
        <f t="shared" si="56"/>
        <v>1.236570242097033</v>
      </c>
      <c r="R171" s="21">
        <f t="shared" si="63"/>
        <v>0.70317349802160367</v>
      </c>
      <c r="S171" s="21">
        <f t="shared" si="64"/>
        <v>1.5266764363399221</v>
      </c>
      <c r="T171" s="21">
        <f t="shared" si="65"/>
        <v>0.94006875407929313</v>
      </c>
      <c r="U171" s="21">
        <f t="shared" si="66"/>
        <v>1.236570242097033</v>
      </c>
      <c r="Y171" s="21">
        <f t="shared" si="67"/>
        <v>5.2512965088912118</v>
      </c>
      <c r="Z171" s="21">
        <f t="shared" si="68"/>
        <v>5.2512965088912118</v>
      </c>
      <c r="AB171" s="21">
        <f t="shared" si="57"/>
        <v>4.4724033968466692E-2</v>
      </c>
      <c r="AD171" s="1">
        <f t="shared" si="69"/>
        <v>-4.6919187843642455E-4</v>
      </c>
      <c r="AE171" s="1">
        <f t="shared" si="58"/>
        <v>-4.6606960813490008E-4</v>
      </c>
      <c r="AF171" s="1">
        <f t="shared" si="70"/>
        <v>-3.3113672383861041E-4</v>
      </c>
      <c r="AG171" s="1">
        <f t="shared" si="59"/>
        <v>-3.289331512575358E-4</v>
      </c>
      <c r="AH171" s="1">
        <f t="shared" si="71"/>
        <v>-5.7155592675829398E-4</v>
      </c>
      <c r="AI171" s="1">
        <f t="shared" si="60"/>
        <v>-5.6775246770924843E-4</v>
      </c>
      <c r="AJ171" s="1">
        <f t="shared" si="72"/>
        <v>-3.6203957436575746E-4</v>
      </c>
      <c r="AK171" s="1">
        <f t="shared" si="61"/>
        <v>-3.5963035659586395E-4</v>
      </c>
      <c r="AL171" s="1">
        <f t="shared" si="73"/>
        <v>-4.3847092125947739E-4</v>
      </c>
      <c r="AM171" s="1">
        <f t="shared" si="74"/>
        <v>-3.0832113148278187E-4</v>
      </c>
      <c r="AN171" s="1">
        <f t="shared" si="75"/>
        <v>-6.6940322350710155E-4</v>
      </c>
      <c r="AO171" s="1">
        <f t="shared" si="76"/>
        <v>-4.1219281264839674E-4</v>
      </c>
      <c r="AP171" s="1">
        <f t="shared" si="77"/>
        <v>-5.4220009325434105E-4</v>
      </c>
    </row>
    <row r="172" spans="2:42" x14ac:dyDescent="0.3">
      <c r="B172" s="1">
        <v>8.4694470726767279E-2</v>
      </c>
      <c r="C172" s="1"/>
      <c r="D172" s="4"/>
      <c r="E172" s="1"/>
      <c r="G172" s="4"/>
      <c r="H172" s="4"/>
      <c r="I172" s="1">
        <f t="shared" si="62"/>
        <v>5.002151946011506</v>
      </c>
      <c r="M172" s="1">
        <f t="shared" si="53"/>
        <v>0.42687283285364874</v>
      </c>
      <c r="N172" s="1">
        <f t="shared" si="54"/>
        <v>1.1246887794046043</v>
      </c>
      <c r="O172" s="1">
        <f t="shared" si="55"/>
        <v>1.2493821747019207</v>
      </c>
      <c r="P172" s="1">
        <f t="shared" si="56"/>
        <v>1.1459887934021822</v>
      </c>
      <c r="R172" s="21">
        <f t="shared" si="63"/>
        <v>0.42687283285364874</v>
      </c>
      <c r="S172" s="21">
        <f t="shared" si="64"/>
        <v>1.1246887794046043</v>
      </c>
      <c r="T172" s="21">
        <f t="shared" si="65"/>
        <v>1.2493821747019207</v>
      </c>
      <c r="U172" s="21">
        <f t="shared" si="66"/>
        <v>1.1459887934021822</v>
      </c>
      <c r="Y172" s="21">
        <f t="shared" si="67"/>
        <v>4.9804574442354195</v>
      </c>
      <c r="Z172" s="21">
        <f t="shared" si="68"/>
        <v>4.9804574442354195</v>
      </c>
      <c r="AB172" s="21">
        <f t="shared" si="57"/>
        <v>2.1694501776086561E-2</v>
      </c>
      <c r="AD172" s="1">
        <f t="shared" si="69"/>
        <v>-2.2759315600290366E-4</v>
      </c>
      <c r="AE172" s="1">
        <f t="shared" si="58"/>
        <v>-1.9275881888700501E-5</v>
      </c>
      <c r="AF172" s="1">
        <f t="shared" si="70"/>
        <v>-1.6062607967137513E-4</v>
      </c>
      <c r="AG172" s="1">
        <f t="shared" si="59"/>
        <v>-1.360414080268267E-5</v>
      </c>
      <c r="AH172" s="1">
        <f t="shared" si="71"/>
        <v>-2.7724737614082703E-4</v>
      </c>
      <c r="AI172" s="1">
        <f t="shared" si="60"/>
        <v>-2.3481319782632311E-5</v>
      </c>
      <c r="AJ172" s="1">
        <f t="shared" si="72"/>
        <v>-1.7561627367131751E-4</v>
      </c>
      <c r="AK172" s="1">
        <f t="shared" si="61"/>
        <v>-1.4873727349599352E-5</v>
      </c>
      <c r="AL172" s="1">
        <f t="shared" si="73"/>
        <v>-2.1269119388320158E-4</v>
      </c>
      <c r="AM172" s="1">
        <f t="shared" si="74"/>
        <v>-9.0792092455946904E-5</v>
      </c>
      <c r="AN172" s="1">
        <f t="shared" si="75"/>
        <v>-2.3921139923860604E-4</v>
      </c>
      <c r="AO172" s="1">
        <f t="shared" si="76"/>
        <v>-2.6573258635374222E-4</v>
      </c>
      <c r="AP172" s="1">
        <f t="shared" si="77"/>
        <v>-2.4374172464547978E-4</v>
      </c>
    </row>
    <row r="173" spans="2:42" x14ac:dyDescent="0.3">
      <c r="B173" s="1">
        <v>0.58546186589744531</v>
      </c>
      <c r="C173" s="1"/>
      <c r="D173" s="4"/>
      <c r="E173" s="1"/>
      <c r="G173" s="4"/>
      <c r="H173" s="4"/>
      <c r="I173" s="1">
        <f t="shared" si="62"/>
        <v>5.1028296789260352</v>
      </c>
      <c r="M173" s="1">
        <f t="shared" si="53"/>
        <v>0.57914512509245197</v>
      </c>
      <c r="N173" s="1">
        <f t="shared" si="54"/>
        <v>1.3462285355106482</v>
      </c>
      <c r="O173" s="1">
        <f t="shared" si="55"/>
        <v>1.0789161950062078</v>
      </c>
      <c r="P173" s="1">
        <f t="shared" si="56"/>
        <v>1.1959092118662207</v>
      </c>
      <c r="R173" s="21">
        <f t="shared" si="63"/>
        <v>0.57914512509245197</v>
      </c>
      <c r="S173" s="21">
        <f t="shared" si="64"/>
        <v>1.3462285355106482</v>
      </c>
      <c r="T173" s="21">
        <f t="shared" si="65"/>
        <v>1.0789161950062078</v>
      </c>
      <c r="U173" s="21">
        <f t="shared" si="66"/>
        <v>1.1959092118662207</v>
      </c>
      <c r="Y173" s="21">
        <f t="shared" si="67"/>
        <v>5.1297197892170407</v>
      </c>
      <c r="Z173" s="21">
        <f t="shared" si="68"/>
        <v>5.1297197892170407</v>
      </c>
      <c r="AB173" s="21">
        <f t="shared" si="57"/>
        <v>-2.689011029100552E-2</v>
      </c>
      <c r="AD173" s="1">
        <f t="shared" si="69"/>
        <v>2.8209935999277339E-4</v>
      </c>
      <c r="AE173" s="1">
        <f t="shared" si="58"/>
        <v>1.6515841766984423E-4</v>
      </c>
      <c r="AF173" s="1">
        <f t="shared" si="70"/>
        <v>1.990943623667886E-4</v>
      </c>
      <c r="AG173" s="1">
        <f t="shared" si="59"/>
        <v>1.1656215688092217E-4</v>
      </c>
      <c r="AH173" s="1">
        <f t="shared" si="71"/>
        <v>3.4364525165249339E-4</v>
      </c>
      <c r="AI173" s="1">
        <f t="shared" si="60"/>
        <v>2.0119119023926594E-4</v>
      </c>
      <c r="AJ173" s="1">
        <f t="shared" si="72"/>
        <v>2.1767455259666225E-4</v>
      </c>
      <c r="AK173" s="1">
        <f t="shared" si="61"/>
        <v>1.2744014972163349E-4</v>
      </c>
      <c r="AL173" s="1">
        <f t="shared" si="73"/>
        <v>2.6362853226476001E-4</v>
      </c>
      <c r="AM173" s="1">
        <f t="shared" si="74"/>
        <v>1.5267917929641394E-4</v>
      </c>
      <c r="AN173" s="1">
        <f t="shared" si="75"/>
        <v>3.5490425290960956E-4</v>
      </c>
      <c r="AO173" s="1">
        <f t="shared" si="76"/>
        <v>2.8443309292616617E-4</v>
      </c>
      <c r="AP173" s="1">
        <f t="shared" si="77"/>
        <v>3.152757902461977E-4</v>
      </c>
    </row>
    <row r="174" spans="2:42" x14ac:dyDescent="0.3">
      <c r="B174" s="1">
        <v>0.49626784887088315</v>
      </c>
      <c r="C174" s="1"/>
      <c r="D174" s="4"/>
      <c r="E174" s="1"/>
      <c r="G174" s="4"/>
      <c r="H174" s="4"/>
      <c r="I174" s="1">
        <f t="shared" si="62"/>
        <v>5.0738845333468801</v>
      </c>
      <c r="M174" s="1">
        <f t="shared" si="53"/>
        <v>0.55202319671292488</v>
      </c>
      <c r="N174" s="1">
        <f t="shared" si="54"/>
        <v>1.3067690559823375</v>
      </c>
      <c r="O174" s="1">
        <f t="shared" si="55"/>
        <v>1.1092786859392423</v>
      </c>
      <c r="P174" s="1">
        <f t="shared" si="56"/>
        <v>1.1870176532356174</v>
      </c>
      <c r="R174" s="21">
        <f t="shared" si="63"/>
        <v>0.55202319671292488</v>
      </c>
      <c r="S174" s="21">
        <f t="shared" si="64"/>
        <v>1.3067690559823375</v>
      </c>
      <c r="T174" s="21">
        <f t="shared" si="65"/>
        <v>1.1092786859392423</v>
      </c>
      <c r="U174" s="21">
        <f t="shared" si="66"/>
        <v>1.1870176532356174</v>
      </c>
      <c r="Y174" s="21">
        <f t="shared" si="67"/>
        <v>5.1031339765860544</v>
      </c>
      <c r="Z174" s="21">
        <f t="shared" si="68"/>
        <v>5.1031339765860544</v>
      </c>
      <c r="AB174" s="21">
        <f t="shared" si="57"/>
        <v>-2.9249443239174333E-2</v>
      </c>
      <c r="AD174" s="1">
        <f t="shared" si="69"/>
        <v>3.0685070193542472E-4</v>
      </c>
      <c r="AE174" s="1">
        <f t="shared" si="58"/>
        <v>1.5228013777401377E-4</v>
      </c>
      <c r="AF174" s="1">
        <f t="shared" si="70"/>
        <v>2.1656286226668471E-4</v>
      </c>
      <c r="AG174" s="1">
        <f t="shared" si="59"/>
        <v>1.0747318580240897E-4</v>
      </c>
      <c r="AH174" s="1">
        <f t="shared" si="71"/>
        <v>3.7379661793293168E-4</v>
      </c>
      <c r="AI174" s="1">
        <f t="shared" si="60"/>
        <v>1.8550324349678738E-4</v>
      </c>
      <c r="AJ174" s="1">
        <f t="shared" si="72"/>
        <v>2.3677327470532513E-4</v>
      </c>
      <c r="AK174" s="1">
        <f t="shared" si="61"/>
        <v>1.1750296370812639E-4</v>
      </c>
      <c r="AL174" s="1">
        <f t="shared" si="73"/>
        <v>2.8675924744288561E-4</v>
      </c>
      <c r="AM174" s="1">
        <f t="shared" si="74"/>
        <v>1.5829775646041433E-4</v>
      </c>
      <c r="AN174" s="1">
        <f t="shared" si="75"/>
        <v>3.7472811107514518E-4</v>
      </c>
      <c r="AO174" s="1">
        <f t="shared" si="76"/>
        <v>3.1809592118437017E-4</v>
      </c>
      <c r="AP174" s="1">
        <f t="shared" si="77"/>
        <v>3.4038828894326581E-4</v>
      </c>
    </row>
    <row r="175" spans="2:42" x14ac:dyDescent="0.3">
      <c r="B175" s="1">
        <v>5.7691411666688341E-2</v>
      </c>
      <c r="C175" s="1"/>
      <c r="D175" s="4"/>
      <c r="E175" s="1"/>
      <c r="G175" s="4"/>
      <c r="H175" s="4"/>
      <c r="I175" s="1">
        <f t="shared" si="62"/>
        <v>5.0009984896940285</v>
      </c>
      <c r="M175" s="1">
        <f t="shared" si="53"/>
        <v>0.41866179966700018</v>
      </c>
      <c r="N175" s="1">
        <f t="shared" si="54"/>
        <v>1.1127426120303325</v>
      </c>
      <c r="O175" s="1">
        <f t="shared" si="55"/>
        <v>1.2585742725937745</v>
      </c>
      <c r="P175" s="1">
        <f t="shared" si="56"/>
        <v>1.1432969168521347</v>
      </c>
      <c r="R175" s="21">
        <f t="shared" si="63"/>
        <v>0.41866179966700018</v>
      </c>
      <c r="S175" s="21">
        <f t="shared" si="64"/>
        <v>1.1127426120303325</v>
      </c>
      <c r="T175" s="21">
        <f t="shared" si="65"/>
        <v>1.2585742725937745</v>
      </c>
      <c r="U175" s="21">
        <f t="shared" si="66"/>
        <v>1.1432969168521347</v>
      </c>
      <c r="Y175" s="21">
        <f t="shared" si="67"/>
        <v>4.9724087175094889</v>
      </c>
      <c r="Z175" s="21">
        <f t="shared" si="68"/>
        <v>4.9724087175094889</v>
      </c>
      <c r="AB175" s="21">
        <f t="shared" si="57"/>
        <v>2.8589772184539619E-2</v>
      </c>
      <c r="AD175" s="1">
        <f t="shared" si="69"/>
        <v>-2.9993021033816795E-4</v>
      </c>
      <c r="AE175" s="1">
        <f t="shared" si="58"/>
        <v>-1.730339723589567E-5</v>
      </c>
      <c r="AF175" s="1">
        <f t="shared" si="70"/>
        <v>-2.1167865812720757E-4</v>
      </c>
      <c r="AG175" s="1">
        <f t="shared" si="59"/>
        <v>-1.2212040607068915E-5</v>
      </c>
      <c r="AH175" s="1">
        <f t="shared" si="71"/>
        <v>-3.6536627595498748E-4</v>
      </c>
      <c r="AI175" s="1">
        <f t="shared" si="60"/>
        <v>-2.1078496235244039E-5</v>
      </c>
      <c r="AJ175" s="1">
        <f t="shared" si="72"/>
        <v>-2.3143325935675996E-4</v>
      </c>
      <c r="AK175" s="1">
        <f t="shared" si="61"/>
        <v>-1.3351711438914291E-5</v>
      </c>
      <c r="AL175" s="1">
        <f t="shared" si="73"/>
        <v>-2.8029188416215311E-4</v>
      </c>
      <c r="AM175" s="1">
        <f t="shared" si="74"/>
        <v>-1.1734750465538137E-4</v>
      </c>
      <c r="AN175" s="1">
        <f t="shared" si="75"/>
        <v>-3.1189272331349767E-4</v>
      </c>
      <c r="AO175" s="1">
        <f t="shared" si="76"/>
        <v>-3.5276815422332036E-4</v>
      </c>
      <c r="AP175" s="1">
        <f t="shared" si="77"/>
        <v>-3.2045684698126534E-4</v>
      </c>
    </row>
    <row r="176" spans="2:42" x14ac:dyDescent="0.3">
      <c r="B176" s="1">
        <v>0.51656955623635925</v>
      </c>
      <c r="C176" s="1"/>
      <c r="D176" s="4"/>
      <c r="E176" s="1"/>
      <c r="G176" s="4"/>
      <c r="H176" s="4"/>
      <c r="I176" s="1">
        <f t="shared" si="62"/>
        <v>5.0800532319290683</v>
      </c>
      <c r="M176" s="1">
        <f t="shared" si="53"/>
        <v>0.55819649702503638</v>
      </c>
      <c r="N176" s="1">
        <f t="shared" si="54"/>
        <v>1.3157505418810966</v>
      </c>
      <c r="O176" s="1">
        <f t="shared" si="55"/>
        <v>1.1023677918416503</v>
      </c>
      <c r="P176" s="1">
        <f t="shared" si="56"/>
        <v>1.1890414865302623</v>
      </c>
      <c r="R176" s="21">
        <f t="shared" si="63"/>
        <v>0.55819649702503638</v>
      </c>
      <c r="S176" s="21">
        <f t="shared" si="64"/>
        <v>1.3157505418810966</v>
      </c>
      <c r="T176" s="21">
        <f t="shared" si="65"/>
        <v>1.1023677918416503</v>
      </c>
      <c r="U176" s="21">
        <f t="shared" si="66"/>
        <v>1.1890414865302623</v>
      </c>
      <c r="Y176" s="21">
        <f t="shared" si="67"/>
        <v>5.1091852500469965</v>
      </c>
      <c r="Z176" s="21">
        <f t="shared" si="68"/>
        <v>5.1091852500469965</v>
      </c>
      <c r="AB176" s="21">
        <f t="shared" si="57"/>
        <v>-2.9132018117928205E-2</v>
      </c>
      <c r="AD176" s="1">
        <f t="shared" si="69"/>
        <v>3.056188158928566E-4</v>
      </c>
      <c r="AE176" s="1">
        <f t="shared" si="58"/>
        <v>1.5787337610325452E-4</v>
      </c>
      <c r="AF176" s="1">
        <f t="shared" si="70"/>
        <v>2.1569344673110912E-4</v>
      </c>
      <c r="AG176" s="1">
        <f t="shared" si="59"/>
        <v>1.1142066806097983E-4</v>
      </c>
      <c r="AH176" s="1">
        <f t="shared" si="71"/>
        <v>3.7229597011467232E-4</v>
      </c>
      <c r="AI176" s="1">
        <f t="shared" si="60"/>
        <v>1.9231676407072116E-4</v>
      </c>
      <c r="AJ176" s="1">
        <f t="shared" si="72"/>
        <v>2.3582272223624843E-4</v>
      </c>
      <c r="AK176" s="1">
        <f t="shared" si="61"/>
        <v>1.2181883897602906E-4</v>
      </c>
      <c r="AL176" s="1">
        <f t="shared" si="73"/>
        <v>2.8560802076400198E-4</v>
      </c>
      <c r="AM176" s="1">
        <f t="shared" si="74"/>
        <v>1.5942539671271976E-4</v>
      </c>
      <c r="AN176" s="1">
        <f t="shared" si="75"/>
        <v>3.7578890808582312E-4</v>
      </c>
      <c r="AO176" s="1">
        <f t="shared" si="76"/>
        <v>3.1484508318187709E-4</v>
      </c>
      <c r="AP176" s="1">
        <f t="shared" si="77"/>
        <v>3.3959978557419494E-4</v>
      </c>
    </row>
    <row r="177" spans="2:42" x14ac:dyDescent="0.3">
      <c r="B177" s="1">
        <v>0.11659340859695044</v>
      </c>
      <c r="C177" s="1"/>
      <c r="D177" s="4"/>
      <c r="E177" s="1"/>
      <c r="G177" s="4"/>
      <c r="H177" s="4"/>
      <c r="I177" s="1">
        <f t="shared" si="62"/>
        <v>5.0040782068784768</v>
      </c>
      <c r="M177" s="1">
        <f t="shared" si="53"/>
        <v>0.43657259453206315</v>
      </c>
      <c r="N177" s="1">
        <f t="shared" si="54"/>
        <v>1.1388008861111394</v>
      </c>
      <c r="O177" s="1">
        <f t="shared" si="55"/>
        <v>1.2385234731416082</v>
      </c>
      <c r="P177" s="1">
        <f t="shared" si="56"/>
        <v>1.1491687295210167</v>
      </c>
      <c r="R177" s="21">
        <f t="shared" si="63"/>
        <v>0.43657259453206315</v>
      </c>
      <c r="S177" s="21">
        <f t="shared" si="64"/>
        <v>1.1388008861111394</v>
      </c>
      <c r="T177" s="21">
        <f t="shared" si="65"/>
        <v>1.2385234731416082</v>
      </c>
      <c r="U177" s="21">
        <f t="shared" si="66"/>
        <v>1.1491687295210167</v>
      </c>
      <c r="Y177" s="21">
        <f t="shared" si="67"/>
        <v>4.9899654719441795</v>
      </c>
      <c r="Z177" s="21">
        <f t="shared" si="68"/>
        <v>4.9899654719441795</v>
      </c>
      <c r="AB177" s="21">
        <f t="shared" si="57"/>
        <v>1.4112734934297322E-2</v>
      </c>
      <c r="AD177" s="1">
        <f t="shared" si="69"/>
        <v>-1.4805418979797191E-4</v>
      </c>
      <c r="AE177" s="1">
        <f t="shared" si="58"/>
        <v>-1.7262142645605392E-5</v>
      </c>
      <c r="AF177" s="1">
        <f t="shared" si="70"/>
        <v>-1.0449068198635341E-4</v>
      </c>
      <c r="AG177" s="1">
        <f t="shared" si="59"/>
        <v>-1.2182924779408914E-5</v>
      </c>
      <c r="AH177" s="1">
        <f t="shared" si="71"/>
        <v>-1.8035531634185003E-4</v>
      </c>
      <c r="AI177" s="1">
        <f t="shared" si="60"/>
        <v>-2.1028241090877574E-5</v>
      </c>
      <c r="AJ177" s="1">
        <f t="shared" si="72"/>
        <v>-1.1424212208478756E-4</v>
      </c>
      <c r="AK177" s="1">
        <f t="shared" si="61"/>
        <v>-1.3319878419214331E-5</v>
      </c>
      <c r="AL177" s="1">
        <f t="shared" si="73"/>
        <v>-1.3836014641467961E-4</v>
      </c>
      <c r="AM177" s="1">
        <f t="shared" si="74"/>
        <v>-6.0404248100092811E-5</v>
      </c>
      <c r="AN177" s="1">
        <f t="shared" si="75"/>
        <v>-1.5756465733950413E-4</v>
      </c>
      <c r="AO177" s="1">
        <f t="shared" si="76"/>
        <v>-1.7136228908189041E-4</v>
      </c>
      <c r="AP177" s="1">
        <f t="shared" si="77"/>
        <v>-1.5899915367169923E-4</v>
      </c>
    </row>
    <row r="178" spans="2:42" x14ac:dyDescent="0.3">
      <c r="B178" s="1">
        <v>0.42193937890148758</v>
      </c>
      <c r="C178" s="1"/>
      <c r="D178" s="4"/>
      <c r="E178" s="1"/>
      <c r="G178" s="4"/>
      <c r="H178" s="4"/>
      <c r="I178" s="1">
        <f t="shared" si="62"/>
        <v>5.0534098518403319</v>
      </c>
      <c r="M178" s="1">
        <f t="shared" si="53"/>
        <v>0.52942155249648115</v>
      </c>
      <c r="N178" s="1">
        <f t="shared" si="54"/>
        <v>1.2738861022046799</v>
      </c>
      <c r="O178" s="1">
        <f t="shared" si="55"/>
        <v>1.1345808033989819</v>
      </c>
      <c r="P178" s="1">
        <f t="shared" si="56"/>
        <v>1.1796080088369456</v>
      </c>
      <c r="R178" s="21">
        <f t="shared" si="63"/>
        <v>0.52942155249648115</v>
      </c>
      <c r="S178" s="21">
        <f t="shared" si="64"/>
        <v>1.2738861022046799</v>
      </c>
      <c r="T178" s="21">
        <f t="shared" si="65"/>
        <v>1.1345808033989819</v>
      </c>
      <c r="U178" s="21">
        <f t="shared" si="66"/>
        <v>1.1796080088369456</v>
      </c>
      <c r="Y178" s="21">
        <f t="shared" si="67"/>
        <v>5.0809790962293828</v>
      </c>
      <c r="Z178" s="21">
        <f t="shared" si="68"/>
        <v>5.0809790962293828</v>
      </c>
      <c r="AB178" s="21">
        <f t="shared" si="57"/>
        <v>-2.7569244389050951E-2</v>
      </c>
      <c r="AD178" s="1">
        <f t="shared" si="69"/>
        <v>2.8922403491357386E-4</v>
      </c>
      <c r="AE178" s="1">
        <f t="shared" si="58"/>
        <v>1.2203500965481551E-4</v>
      </c>
      <c r="AF178" s="1">
        <f t="shared" si="70"/>
        <v>2.0412267086938058E-4</v>
      </c>
      <c r="AG178" s="1">
        <f t="shared" si="59"/>
        <v>8.6127392966339208E-5</v>
      </c>
      <c r="AH178" s="1">
        <f t="shared" si="71"/>
        <v>3.5232432382820974E-4</v>
      </c>
      <c r="AI178" s="1">
        <f t="shared" si="60"/>
        <v>1.4865950636796141E-4</v>
      </c>
      <c r="AJ178" s="1">
        <f t="shared" si="72"/>
        <v>2.2317212063730448E-4</v>
      </c>
      <c r="AK178" s="1">
        <f t="shared" si="61"/>
        <v>9.4165105969832116E-5</v>
      </c>
      <c r="AL178" s="1">
        <f t="shared" si="73"/>
        <v>2.7028670969657793E-4</v>
      </c>
      <c r="AM178" s="1">
        <f t="shared" si="74"/>
        <v>1.4309560946672799E-4</v>
      </c>
      <c r="AN178" s="1">
        <f t="shared" si="75"/>
        <v>3.4431448309310152E-4</v>
      </c>
      <c r="AO178" s="1">
        <f t="shared" si="76"/>
        <v>3.0666211223561081E-4</v>
      </c>
      <c r="AP178" s="1">
        <f t="shared" si="77"/>
        <v>3.1883236744026985E-4</v>
      </c>
    </row>
    <row r="179" spans="2:42" x14ac:dyDescent="0.3">
      <c r="B179" s="1">
        <v>0.16943500788333521</v>
      </c>
      <c r="C179" s="1"/>
      <c r="D179" s="4"/>
      <c r="E179" s="1"/>
      <c r="G179" s="4"/>
      <c r="H179" s="4"/>
      <c r="I179" s="1">
        <f t="shared" si="62"/>
        <v>5.0086124665689278</v>
      </c>
      <c r="M179" s="1">
        <f t="shared" si="53"/>
        <v>0.45264055647706891</v>
      </c>
      <c r="N179" s="1">
        <f t="shared" si="54"/>
        <v>1.1621780371218775</v>
      </c>
      <c r="O179" s="1">
        <f t="shared" si="55"/>
        <v>1.2205356906343789</v>
      </c>
      <c r="P179" s="1">
        <f t="shared" si="56"/>
        <v>1.1544363942574285</v>
      </c>
      <c r="R179" s="21">
        <f t="shared" si="63"/>
        <v>0.45264055647706891</v>
      </c>
      <c r="S179" s="21">
        <f t="shared" si="64"/>
        <v>1.1621780371218775</v>
      </c>
      <c r="T179" s="21">
        <f t="shared" si="65"/>
        <v>1.2205356906343789</v>
      </c>
      <c r="U179" s="21">
        <f t="shared" si="66"/>
        <v>1.1544363942574285</v>
      </c>
      <c r="Y179" s="21">
        <f t="shared" si="67"/>
        <v>5.0057158205054657</v>
      </c>
      <c r="Z179" s="21">
        <f t="shared" si="68"/>
        <v>5.0057158205054657</v>
      </c>
      <c r="AB179" s="21">
        <f t="shared" si="57"/>
        <v>2.8966460634620717E-3</v>
      </c>
      <c r="AD179" s="1">
        <f t="shared" si="69"/>
        <v>-3.0388198180859186E-5</v>
      </c>
      <c r="AE179" s="1">
        <f t="shared" si="58"/>
        <v>-5.1488245983342284E-6</v>
      </c>
      <c r="AF179" s="1">
        <f t="shared" si="70"/>
        <v>-2.1446765921229856E-5</v>
      </c>
      <c r="AG179" s="1">
        <f t="shared" si="59"/>
        <v>-3.6338329529356253E-6</v>
      </c>
      <c r="AH179" s="1">
        <f t="shared" si="71"/>
        <v>-3.7018020924948965E-5</v>
      </c>
      <c r="AI179" s="1">
        <f t="shared" si="60"/>
        <v>-6.2721486672441955E-6</v>
      </c>
      <c r="AJ179" s="1">
        <f t="shared" si="72"/>
        <v>-2.3448253988972825E-5</v>
      </c>
      <c r="AK179" s="1">
        <f t="shared" si="61"/>
        <v>-3.9729550994720572E-6</v>
      </c>
      <c r="AL179" s="1">
        <f t="shared" si="73"/>
        <v>-2.8398490818255604E-5</v>
      </c>
      <c r="AM179" s="1">
        <f t="shared" si="74"/>
        <v>-1.2854308687084148E-5</v>
      </c>
      <c r="AN179" s="1">
        <f t="shared" si="75"/>
        <v>-3.300410231638396E-5</v>
      </c>
      <c r="AO179" s="1">
        <f t="shared" si="76"/>
        <v>-3.4661371603833675E-5</v>
      </c>
      <c r="AP179" s="1">
        <f t="shared" si="77"/>
        <v>-3.2784251342579694E-5</v>
      </c>
    </row>
    <row r="180" spans="2:42" x14ac:dyDescent="0.3">
      <c r="B180" s="1">
        <v>1.7324891304891676E-2</v>
      </c>
      <c r="C180" s="1"/>
      <c r="D180" s="4"/>
      <c r="E180" s="1"/>
      <c r="G180" s="4"/>
      <c r="H180" s="4"/>
      <c r="I180" s="1">
        <f t="shared" si="62"/>
        <v>5.0000900455576183</v>
      </c>
      <c r="M180" s="1">
        <f t="shared" si="53"/>
        <v>0.40638723338238791</v>
      </c>
      <c r="N180" s="1">
        <f t="shared" si="54"/>
        <v>1.0948844424249531</v>
      </c>
      <c r="O180" s="1">
        <f t="shared" si="55"/>
        <v>1.2723154196946862</v>
      </c>
      <c r="P180" s="1">
        <f t="shared" si="56"/>
        <v>1.1392728657501032</v>
      </c>
      <c r="R180" s="21">
        <f t="shared" si="63"/>
        <v>0.40638723338238791</v>
      </c>
      <c r="S180" s="21">
        <f t="shared" si="64"/>
        <v>1.0948844424249531</v>
      </c>
      <c r="T180" s="21">
        <f t="shared" si="65"/>
        <v>1.2723154196946862</v>
      </c>
      <c r="U180" s="21">
        <f t="shared" si="66"/>
        <v>1.1392728657501032</v>
      </c>
      <c r="Y180" s="21">
        <f t="shared" si="67"/>
        <v>4.9603767810334798</v>
      </c>
      <c r="Z180" s="21">
        <f t="shared" si="68"/>
        <v>4.9603767810334798</v>
      </c>
      <c r="AB180" s="21">
        <f t="shared" si="57"/>
        <v>3.9713264524138481E-2</v>
      </c>
      <c r="AD180" s="1">
        <f t="shared" si="69"/>
        <v>-4.1662478823043355E-4</v>
      </c>
      <c r="AE180" s="1">
        <f t="shared" si="58"/>
        <v>-7.2179791710157744E-6</v>
      </c>
      <c r="AF180" s="1">
        <f t="shared" si="70"/>
        <v>-2.9403698952405066E-4</v>
      </c>
      <c r="AG180" s="1">
        <f t="shared" si="59"/>
        <v>-5.0941588831217503E-6</v>
      </c>
      <c r="AH180" s="1">
        <f t="shared" si="71"/>
        <v>-5.0752022337016917E-4</v>
      </c>
      <c r="AI180" s="1">
        <f t="shared" si="60"/>
        <v>-8.7927327049225253E-6</v>
      </c>
      <c r="AJ180" s="1">
        <f t="shared" si="72"/>
        <v>-3.2147756159766537E-4</v>
      </c>
      <c r="AK180" s="1">
        <f t="shared" si="61"/>
        <v>-5.569563811641171E-6</v>
      </c>
      <c r="AL180" s="1">
        <f t="shared" si="73"/>
        <v>-3.8934573062880863E-4</v>
      </c>
      <c r="AM180" s="1">
        <f t="shared" si="74"/>
        <v>-1.5822513429948598E-4</v>
      </c>
      <c r="AN180" s="1">
        <f t="shared" si="75"/>
        <v>-4.2628858319005911E-4</v>
      </c>
      <c r="AO180" s="1">
        <f t="shared" si="76"/>
        <v>-4.9537057667132687E-4</v>
      </c>
      <c r="AP180" s="1">
        <f t="shared" si="77"/>
        <v>-4.4357102630105056E-4</v>
      </c>
    </row>
    <row r="181" spans="2:42" x14ac:dyDescent="0.3">
      <c r="B181" s="1">
        <v>0.65355001479524</v>
      </c>
      <c r="C181" s="1"/>
      <c r="D181" s="4"/>
      <c r="E181" s="1"/>
      <c r="G181" s="4"/>
      <c r="H181" s="4"/>
      <c r="I181" s="1">
        <f t="shared" si="62"/>
        <v>5.1281382865516578</v>
      </c>
      <c r="M181" s="1">
        <f t="shared" si="53"/>
        <v>0.59984922565281362</v>
      </c>
      <c r="N181" s="1">
        <f t="shared" si="54"/>
        <v>1.376350768000222</v>
      </c>
      <c r="O181" s="1">
        <f t="shared" si="55"/>
        <v>1.0557383421358661</v>
      </c>
      <c r="P181" s="1">
        <f t="shared" si="56"/>
        <v>1.2026967721550874</v>
      </c>
      <c r="R181" s="21">
        <f t="shared" si="63"/>
        <v>0.59984922565281362</v>
      </c>
      <c r="S181" s="21">
        <f t="shared" si="64"/>
        <v>1.376350768000222</v>
      </c>
      <c r="T181" s="21">
        <f t="shared" si="65"/>
        <v>1.0557383421358661</v>
      </c>
      <c r="U181" s="21">
        <f t="shared" si="66"/>
        <v>1.2026967721550874</v>
      </c>
      <c r="Y181" s="21">
        <f t="shared" si="67"/>
        <v>5.1500146344245223</v>
      </c>
      <c r="Z181" s="21">
        <f t="shared" si="68"/>
        <v>5.1500146344245223</v>
      </c>
      <c r="AB181" s="21">
        <f t="shared" si="57"/>
        <v>-2.1876347872864521E-2</v>
      </c>
      <c r="AD181" s="1">
        <f t="shared" si="69"/>
        <v>2.2950087103133199E-4</v>
      </c>
      <c r="AE181" s="1">
        <f t="shared" si="58"/>
        <v>1.4999029765804748E-4</v>
      </c>
      <c r="AF181" s="1">
        <f t="shared" si="70"/>
        <v>1.619724680757026E-4</v>
      </c>
      <c r="AG181" s="1">
        <f t="shared" si="59"/>
        <v>1.0585710890729697E-4</v>
      </c>
      <c r="AH181" s="1">
        <f t="shared" si="71"/>
        <v>2.7957129921191192E-4</v>
      </c>
      <c r="AI181" s="1">
        <f t="shared" si="60"/>
        <v>1.8271382673626951E-4</v>
      </c>
      <c r="AJ181" s="1">
        <f t="shared" si="72"/>
        <v>1.7708831180463942E-4</v>
      </c>
      <c r="AK181" s="1">
        <f t="shared" si="61"/>
        <v>1.1573606879998617E-4</v>
      </c>
      <c r="AL181" s="1">
        <f t="shared" si="73"/>
        <v>2.1447399875357373E-4</v>
      </c>
      <c r="AM181" s="1">
        <f t="shared" si="74"/>
        <v>1.2865206207499371E-4</v>
      </c>
      <c r="AN181" s="1">
        <f t="shared" si="75"/>
        <v>2.9519145290055987E-4</v>
      </c>
      <c r="AO181" s="1">
        <f t="shared" si="76"/>
        <v>2.2642842387534775E-4</v>
      </c>
      <c r="AP181" s="1">
        <f t="shared" si="77"/>
        <v>2.5794718601211735E-4</v>
      </c>
    </row>
    <row r="182" spans="2:42" x14ac:dyDescent="0.3">
      <c r="B182" s="1">
        <v>7.8535989616903779E-2</v>
      </c>
      <c r="C182" s="1"/>
      <c r="D182" s="4"/>
      <c r="E182" s="1"/>
      <c r="G182" s="4"/>
      <c r="H182" s="4"/>
      <c r="I182" s="1">
        <f t="shared" si="62"/>
        <v>5.0018503704995316</v>
      </c>
      <c r="M182" s="1">
        <f t="shared" si="53"/>
        <v>0.42500017492034087</v>
      </c>
      <c r="N182" s="1">
        <f t="shared" si="54"/>
        <v>1.1219642641581637</v>
      </c>
      <c r="O182" s="1">
        <f t="shared" si="55"/>
        <v>1.2514785801906858</v>
      </c>
      <c r="P182" s="1">
        <f t="shared" si="56"/>
        <v>1.1453748677411426</v>
      </c>
      <c r="R182" s="21">
        <f t="shared" si="63"/>
        <v>0.42500017492034087</v>
      </c>
      <c r="S182" s="21">
        <f t="shared" si="64"/>
        <v>1.1219642641581637</v>
      </c>
      <c r="T182" s="21">
        <f t="shared" si="65"/>
        <v>1.2514785801906858</v>
      </c>
      <c r="U182" s="21">
        <f t="shared" si="66"/>
        <v>1.1453748677411426</v>
      </c>
      <c r="Y182" s="21">
        <f t="shared" si="67"/>
        <v>4.9786218028960505</v>
      </c>
      <c r="Z182" s="21">
        <f t="shared" si="68"/>
        <v>4.9786218028960505</v>
      </c>
      <c r="AB182" s="21">
        <f t="shared" si="57"/>
        <v>2.3228567603481132E-2</v>
      </c>
      <c r="AD182" s="1">
        <f t="shared" si="69"/>
        <v>-2.4368676749841122E-4</v>
      </c>
      <c r="AE182" s="1">
        <f t="shared" si="58"/>
        <v>-1.9138181442032069E-5</v>
      </c>
      <c r="AF182" s="1">
        <f t="shared" si="70"/>
        <v>-1.7198430224571551E-4</v>
      </c>
      <c r="AG182" s="1">
        <f t="shared" si="59"/>
        <v>-1.3506957375439955E-5</v>
      </c>
      <c r="AH182" s="1">
        <f t="shared" si="71"/>
        <v>-2.9685214650440681E-4</v>
      </c>
      <c r="AI182" s="1">
        <f t="shared" si="60"/>
        <v>-2.3313577095625693E-5</v>
      </c>
      <c r="AJ182" s="1">
        <f t="shared" si="72"/>
        <v>-1.8803448575814696E-4</v>
      </c>
      <c r="AK182" s="1">
        <f t="shared" si="61"/>
        <v>-1.476747442112167E-5</v>
      </c>
      <c r="AL182" s="1">
        <f t="shared" si="73"/>
        <v>-2.2773105493608951E-4</v>
      </c>
      <c r="AM182" s="1">
        <f t="shared" si="74"/>
        <v>-9.6785738182631791E-5</v>
      </c>
      <c r="AN182" s="1">
        <f t="shared" si="75"/>
        <v>-2.5550610547733202E-4</v>
      </c>
      <c r="AO182" s="1">
        <f t="shared" si="76"/>
        <v>-2.8500053729674436E-4</v>
      </c>
      <c r="AP182" s="1">
        <f t="shared" si="77"/>
        <v>-2.608374269279744E-4</v>
      </c>
    </row>
    <row r="183" spans="2:42" x14ac:dyDescent="0.3">
      <c r="B183" s="1">
        <v>0.73243805796912786</v>
      </c>
      <c r="C183" s="1"/>
      <c r="D183" s="4"/>
      <c r="E183" s="1"/>
      <c r="G183" s="4"/>
      <c r="H183" s="4"/>
      <c r="I183" s="1">
        <f t="shared" si="62"/>
        <v>5.1609396526284765</v>
      </c>
      <c r="M183" s="1">
        <f t="shared" si="53"/>
        <v>0.6238373352625205</v>
      </c>
      <c r="N183" s="1">
        <f t="shared" si="54"/>
        <v>1.4112508793352851</v>
      </c>
      <c r="O183" s="1">
        <f t="shared" si="55"/>
        <v>1.028884102631453</v>
      </c>
      <c r="P183" s="1">
        <f t="shared" si="56"/>
        <v>1.2105609505441524</v>
      </c>
      <c r="R183" s="21">
        <f t="shared" si="63"/>
        <v>0.6238373352625205</v>
      </c>
      <c r="S183" s="21">
        <f t="shared" si="64"/>
        <v>1.4112508793352851</v>
      </c>
      <c r="T183" s="21">
        <f t="shared" si="65"/>
        <v>1.028884102631453</v>
      </c>
      <c r="U183" s="21">
        <f t="shared" si="66"/>
        <v>1.2105609505441524</v>
      </c>
      <c r="Y183" s="21">
        <f t="shared" si="67"/>
        <v>5.1735285740873334</v>
      </c>
      <c r="Z183" s="21">
        <f t="shared" si="68"/>
        <v>5.1735285740873334</v>
      </c>
      <c r="AB183" s="21">
        <f t="shared" si="57"/>
        <v>-1.2588921458856817E-2</v>
      </c>
      <c r="AD183" s="1">
        <f t="shared" si="69"/>
        <v>1.3206813390165539E-4</v>
      </c>
      <c r="AE183" s="1">
        <f t="shared" si="58"/>
        <v>9.6731727514535207E-5</v>
      </c>
      <c r="AF183" s="1">
        <f t="shared" si="70"/>
        <v>9.3208367820456309E-5</v>
      </c>
      <c r="AG183" s="1">
        <f t="shared" si="59"/>
        <v>6.8269355912887168E-5</v>
      </c>
      <c r="AH183" s="1">
        <f t="shared" si="71"/>
        <v>1.6088156708711493E-4</v>
      </c>
      <c r="AI183" s="1">
        <f t="shared" si="60"/>
        <v>1.1783578256031642E-4</v>
      </c>
      <c r="AJ183" s="1">
        <f t="shared" si="72"/>
        <v>1.0190690244761762E-4</v>
      </c>
      <c r="AK183" s="1">
        <f t="shared" si="61"/>
        <v>7.4640493722382412E-5</v>
      </c>
      <c r="AL183" s="1">
        <f t="shared" si="73"/>
        <v>1.2342079861624329E-4</v>
      </c>
      <c r="AM183" s="1">
        <f t="shared" si="74"/>
        <v>7.6994502124729398E-5</v>
      </c>
      <c r="AN183" s="1">
        <f t="shared" si="75"/>
        <v>1.7417771057543649E-4</v>
      </c>
      <c r="AO183" s="1">
        <f t="shared" si="76"/>
        <v>1.2698569763033076E-4</v>
      </c>
      <c r="AP183" s="1">
        <f t="shared" si="77"/>
        <v>1.4940839928979788E-4</v>
      </c>
    </row>
    <row r="184" spans="2:42" x14ac:dyDescent="0.3">
      <c r="B184" s="1">
        <v>6.608111845697684E-2</v>
      </c>
      <c r="C184" s="1"/>
      <c r="D184" s="4"/>
      <c r="E184" s="1"/>
      <c r="G184" s="4"/>
      <c r="H184" s="4"/>
      <c r="I184" s="1">
        <f t="shared" si="62"/>
        <v>5.0013100142649574</v>
      </c>
      <c r="M184" s="1">
        <f t="shared" si="53"/>
        <v>0.42121292399436028</v>
      </c>
      <c r="N184" s="1">
        <f t="shared" si="54"/>
        <v>1.1164542226784024</v>
      </c>
      <c r="O184" s="1">
        <f t="shared" si="55"/>
        <v>1.2557183366818951</v>
      </c>
      <c r="P184" s="1">
        <f t="shared" si="56"/>
        <v>1.144133268575112</v>
      </c>
      <c r="R184" s="21">
        <f t="shared" si="63"/>
        <v>0.42121292399436028</v>
      </c>
      <c r="S184" s="21">
        <f t="shared" si="64"/>
        <v>1.1164542226784024</v>
      </c>
      <c r="T184" s="21">
        <f t="shared" si="65"/>
        <v>1.2557183366818951</v>
      </c>
      <c r="U184" s="21">
        <f t="shared" si="66"/>
        <v>1.144133268575112</v>
      </c>
      <c r="Y184" s="21">
        <f t="shared" si="67"/>
        <v>4.9749094140829948</v>
      </c>
      <c r="Z184" s="21">
        <f t="shared" si="68"/>
        <v>4.9749094140829948</v>
      </c>
      <c r="AB184" s="21">
        <f t="shared" si="57"/>
        <v>2.6400600181962552E-2</v>
      </c>
      <c r="AD184" s="1">
        <f t="shared" si="69"/>
        <v>-2.7696399658308133E-4</v>
      </c>
      <c r="AE184" s="1">
        <f t="shared" si="58"/>
        <v>-1.8302090666524326E-5</v>
      </c>
      <c r="AF184" s="1">
        <f t="shared" si="70"/>
        <v>-1.9547002977843899E-4</v>
      </c>
      <c r="AG184" s="1">
        <f t="shared" si="59"/>
        <v>-1.2916878192577818E-5</v>
      </c>
      <c r="AH184" s="1">
        <f t="shared" si="71"/>
        <v>-3.3738950101450598E-4</v>
      </c>
      <c r="AI184" s="1">
        <f t="shared" si="60"/>
        <v>-2.2295075582679878E-5</v>
      </c>
      <c r="AJ184" s="1">
        <f t="shared" si="72"/>
        <v>-2.1371198446940872E-4</v>
      </c>
      <c r="AK184" s="1">
        <f t="shared" si="61"/>
        <v>-1.4122326961398592E-5</v>
      </c>
      <c r="AL184" s="1">
        <f t="shared" si="73"/>
        <v>-2.5882941354865249E-4</v>
      </c>
      <c r="AM184" s="1">
        <f t="shared" si="74"/>
        <v>-1.090222940965734E-4</v>
      </c>
      <c r="AN184" s="1">
        <f t="shared" si="75"/>
        <v>-2.8897119170976759E-4</v>
      </c>
      <c r="AO184" s="1">
        <f t="shared" si="76"/>
        <v>-3.2501684066566427E-4</v>
      </c>
      <c r="AP184" s="1">
        <f t="shared" si="77"/>
        <v>-2.9613534292679915E-4</v>
      </c>
    </row>
    <row r="185" spans="2:42" x14ac:dyDescent="0.3">
      <c r="B185" s="1">
        <v>0.437273823598745</v>
      </c>
      <c r="C185" s="1"/>
      <c r="D185" s="4"/>
      <c r="E185" s="1"/>
      <c r="G185" s="4"/>
      <c r="H185" s="4"/>
      <c r="I185" s="1">
        <f t="shared" si="62"/>
        <v>5.0573625190413996</v>
      </c>
      <c r="M185" s="1">
        <f t="shared" si="53"/>
        <v>0.53408441806396623</v>
      </c>
      <c r="N185" s="1">
        <f t="shared" si="54"/>
        <v>1.2806700685152146</v>
      </c>
      <c r="O185" s="1">
        <f t="shared" si="55"/>
        <v>1.1293608127134527</v>
      </c>
      <c r="P185" s="1">
        <f t="shared" si="56"/>
        <v>1.1811366664603913</v>
      </c>
      <c r="R185" s="21">
        <f t="shared" si="63"/>
        <v>0.53408441806396623</v>
      </c>
      <c r="S185" s="21">
        <f t="shared" si="64"/>
        <v>1.2806700685152146</v>
      </c>
      <c r="T185" s="21">
        <f t="shared" si="65"/>
        <v>1.1293608127134527</v>
      </c>
      <c r="U185" s="21">
        <f t="shared" si="66"/>
        <v>1.1811366664603913</v>
      </c>
      <c r="Y185" s="21">
        <f t="shared" si="67"/>
        <v>5.085549791519405</v>
      </c>
      <c r="Z185" s="21">
        <f t="shared" si="68"/>
        <v>5.085549791519405</v>
      </c>
      <c r="AB185" s="21">
        <f t="shared" si="57"/>
        <v>-2.8187272478005454E-2</v>
      </c>
      <c r="AD185" s="1">
        <f t="shared" si="69"/>
        <v>2.9570765757130387E-4</v>
      </c>
      <c r="AE185" s="1">
        <f t="shared" si="58"/>
        <v>1.2930521809363242E-4</v>
      </c>
      <c r="AF185" s="1">
        <f t="shared" si="70"/>
        <v>2.0869855051299511E-4</v>
      </c>
      <c r="AG185" s="1">
        <f t="shared" si="59"/>
        <v>9.1258413162333203E-5</v>
      </c>
      <c r="AH185" s="1">
        <f t="shared" si="71"/>
        <v>3.6022248474531544E-4</v>
      </c>
      <c r="AI185" s="1">
        <f t="shared" si="60"/>
        <v>1.5751586325082469E-4</v>
      </c>
      <c r="AJ185" s="1">
        <f t="shared" si="72"/>
        <v>2.2817503755729723E-4</v>
      </c>
      <c r="AK185" s="1">
        <f t="shared" si="61"/>
        <v>9.9774971122466605E-5</v>
      </c>
      <c r="AL185" s="1">
        <f t="shared" si="73"/>
        <v>2.7634580860789662E-4</v>
      </c>
      <c r="AM185" s="1">
        <f t="shared" si="74"/>
        <v>1.4759199037476465E-4</v>
      </c>
      <c r="AN185" s="1">
        <f t="shared" si="75"/>
        <v>3.5390780564376734E-4</v>
      </c>
      <c r="AO185" s="1">
        <f t="shared" si="76"/>
        <v>3.1209412699937039E-4</v>
      </c>
      <c r="AP185" s="1">
        <f t="shared" si="77"/>
        <v>3.2640216716943232E-4</v>
      </c>
    </row>
    <row r="186" spans="2:42" x14ac:dyDescent="0.3">
      <c r="B186" s="1">
        <v>0.89556037821573387</v>
      </c>
      <c r="C186" s="1"/>
      <c r="D186" s="4"/>
      <c r="E186" s="1"/>
      <c r="G186" s="4"/>
      <c r="H186" s="4"/>
      <c r="I186" s="1">
        <f t="shared" si="62"/>
        <v>5.2406085173089725</v>
      </c>
      <c r="M186" s="1">
        <f t="shared" si="53"/>
        <v>0.67343922599823203</v>
      </c>
      <c r="N186" s="1">
        <f t="shared" si="54"/>
        <v>1.4834162786631868</v>
      </c>
      <c r="O186" s="1">
        <f t="shared" si="55"/>
        <v>0.97335571480261285</v>
      </c>
      <c r="P186" s="1">
        <f t="shared" si="56"/>
        <v>1.2268222618157458</v>
      </c>
      <c r="R186" s="21">
        <f t="shared" si="63"/>
        <v>0.67343922599823203</v>
      </c>
      <c r="S186" s="21">
        <f t="shared" si="64"/>
        <v>1.4834162786631868</v>
      </c>
      <c r="T186" s="21">
        <f t="shared" si="65"/>
        <v>0.97335571480261285</v>
      </c>
      <c r="U186" s="21">
        <f t="shared" si="66"/>
        <v>1.2268222618157458</v>
      </c>
      <c r="Y186" s="21">
        <f t="shared" si="67"/>
        <v>5.2221499904847661</v>
      </c>
      <c r="Z186" s="21">
        <f t="shared" si="68"/>
        <v>5.2221499904847661</v>
      </c>
      <c r="AB186" s="21">
        <f t="shared" si="57"/>
        <v>1.8458526824206345E-2</v>
      </c>
      <c r="AD186" s="1">
        <f t="shared" si="69"/>
        <v>-1.9364511886214861E-4</v>
      </c>
      <c r="AE186" s="1">
        <f t="shared" si="58"/>
        <v>-1.7342089588781654E-4</v>
      </c>
      <c r="AF186" s="1">
        <f t="shared" si="70"/>
        <v>-1.3666692283983948E-4</v>
      </c>
      <c r="AG186" s="1">
        <f t="shared" si="59"/>
        <v>-1.2239348110802716E-4</v>
      </c>
      <c r="AH186" s="1">
        <f t="shared" si="71"/>
        <v>-2.3589286272880858E-4</v>
      </c>
      <c r="AI186" s="1">
        <f t="shared" si="60"/>
        <v>-2.11256301363804E-4</v>
      </c>
      <c r="AJ186" s="1">
        <f t="shared" si="72"/>
        <v>-1.4942116356423315E-4</v>
      </c>
      <c r="AK186" s="1">
        <f t="shared" si="61"/>
        <v>-1.3381567375501968E-4</v>
      </c>
      <c r="AL186" s="1">
        <f t="shared" si="73"/>
        <v>-1.8096594925692494E-4</v>
      </c>
      <c r="AM186" s="1">
        <f t="shared" si="74"/>
        <v>-1.2186956879961886E-4</v>
      </c>
      <c r="AN186" s="1">
        <f t="shared" si="75"/>
        <v>-2.6844783501145869E-4</v>
      </c>
      <c r="AO186" s="1">
        <f t="shared" si="76"/>
        <v>-1.7614424089390754E-4</v>
      </c>
      <c r="AP186" s="1">
        <f t="shared" si="77"/>
        <v>-2.2201305517901413E-4</v>
      </c>
    </row>
    <row r="187" spans="2:42" x14ac:dyDescent="0.3">
      <c r="B187" s="1">
        <v>9.0105036079118017E-2</v>
      </c>
      <c r="C187" s="1"/>
      <c r="D187" s="4"/>
      <c r="E187" s="1"/>
      <c r="G187" s="4"/>
      <c r="H187" s="4"/>
      <c r="I187" s="1">
        <f t="shared" si="62"/>
        <v>5.0024356752580461</v>
      </c>
      <c r="M187" s="1">
        <f t="shared" si="53"/>
        <v>0.42851806614250831</v>
      </c>
      <c r="N187" s="1">
        <f t="shared" si="54"/>
        <v>1.1270824163308804</v>
      </c>
      <c r="O187" s="1">
        <f t="shared" si="55"/>
        <v>1.2475403668438396</v>
      </c>
      <c r="P187" s="1">
        <f t="shared" si="56"/>
        <v>1.1465281609590983</v>
      </c>
      <c r="R187" s="21">
        <f t="shared" si="63"/>
        <v>0.42851806614250831</v>
      </c>
      <c r="S187" s="21">
        <f t="shared" si="64"/>
        <v>1.1270824163308804</v>
      </c>
      <c r="T187" s="21">
        <f t="shared" si="65"/>
        <v>1.2475403668438396</v>
      </c>
      <c r="U187" s="21">
        <f t="shared" si="66"/>
        <v>1.1465281609590983</v>
      </c>
      <c r="Y187" s="21">
        <f t="shared" si="67"/>
        <v>4.9820701564046956</v>
      </c>
      <c r="Z187" s="21">
        <f t="shared" si="68"/>
        <v>4.9820701564046956</v>
      </c>
      <c r="AB187" s="21">
        <f t="shared" si="57"/>
        <v>2.0365518853350473E-2</v>
      </c>
      <c r="AD187" s="1">
        <f t="shared" si="69"/>
        <v>-2.1365103275060228E-4</v>
      </c>
      <c r="AE187" s="1">
        <f t="shared" si="58"/>
        <v>-1.9251034014333843E-5</v>
      </c>
      <c r="AF187" s="1">
        <f t="shared" si="70"/>
        <v>-1.5078629081461477E-4</v>
      </c>
      <c r="AG187" s="1">
        <f t="shared" si="59"/>
        <v>-1.3586604174087245E-5</v>
      </c>
      <c r="AH187" s="1">
        <f t="shared" si="71"/>
        <v>-2.6026348630240302E-4</v>
      </c>
      <c r="AI187" s="1">
        <f t="shared" si="60"/>
        <v>-2.3451050823355062E-5</v>
      </c>
      <c r="AJ187" s="1">
        <f t="shared" si="72"/>
        <v>-1.6485820090833797E-4</v>
      </c>
      <c r="AK187" s="1">
        <f t="shared" si="61"/>
        <v>-1.485455414078428E-5</v>
      </c>
      <c r="AL187" s="1">
        <f t="shared" si="73"/>
        <v>-1.9966194954265169E-4</v>
      </c>
      <c r="AM187" s="1">
        <f t="shared" si="74"/>
        <v>-8.5558752500260166E-5</v>
      </c>
      <c r="AN187" s="1">
        <f t="shared" si="75"/>
        <v>-2.2503547253986618E-4</v>
      </c>
      <c r="AO187" s="1">
        <f t="shared" si="76"/>
        <v>-2.4908634177719588E-4</v>
      </c>
      <c r="AP187" s="1">
        <f t="shared" si="77"/>
        <v>-2.2891804782264471E-4</v>
      </c>
    </row>
    <row r="188" spans="2:42" x14ac:dyDescent="0.3">
      <c r="B188" s="1">
        <v>0.29407743064259917</v>
      </c>
      <c r="C188" s="1"/>
      <c r="D188" s="4"/>
      <c r="E188" s="1"/>
      <c r="G188" s="4"/>
      <c r="H188" s="4"/>
      <c r="I188" s="1">
        <f t="shared" si="62"/>
        <v>5.0259444605640056</v>
      </c>
      <c r="M188" s="1">
        <f t="shared" si="53"/>
        <v>0.49054156122855086</v>
      </c>
      <c r="N188" s="1">
        <f t="shared" si="54"/>
        <v>1.2173199097854168</v>
      </c>
      <c r="O188" s="1">
        <f t="shared" si="55"/>
        <v>1.1781062255529646</v>
      </c>
      <c r="P188" s="1">
        <f t="shared" si="56"/>
        <v>1.1668617277805773</v>
      </c>
      <c r="R188" s="21">
        <f t="shared" si="63"/>
        <v>0.49054156122855086</v>
      </c>
      <c r="S188" s="21">
        <f t="shared" si="64"/>
        <v>1.2173199097854168</v>
      </c>
      <c r="T188" s="21">
        <f t="shared" si="65"/>
        <v>1.1781062255529646</v>
      </c>
      <c r="U188" s="21">
        <f t="shared" si="66"/>
        <v>1.1668617277805773</v>
      </c>
      <c r="Y188" s="21">
        <f t="shared" si="67"/>
        <v>5.0428676408608961</v>
      </c>
      <c r="Z188" s="21">
        <f t="shared" si="68"/>
        <v>5.0428676408608961</v>
      </c>
      <c r="AB188" s="21">
        <f t="shared" si="57"/>
        <v>-1.692318029689055E-2</v>
      </c>
      <c r="AD188" s="1">
        <f t="shared" si="69"/>
        <v>1.775380717717621E-4</v>
      </c>
      <c r="AE188" s="1">
        <f t="shared" si="58"/>
        <v>5.220993998788116E-5</v>
      </c>
      <c r="AF188" s="1">
        <f t="shared" si="70"/>
        <v>1.2529921796395997E-4</v>
      </c>
      <c r="AG188" s="1">
        <f t="shared" si="59"/>
        <v>3.6847672080368356E-5</v>
      </c>
      <c r="AH188" s="1">
        <f t="shared" si="71"/>
        <v>2.1627172551355142E-4</v>
      </c>
      <c r="AI188" s="1">
        <f t="shared" si="60"/>
        <v>6.3600633359666662E-5</v>
      </c>
      <c r="AJ188" s="1">
        <f t="shared" si="72"/>
        <v>1.3699258425393953E-4</v>
      </c>
      <c r="AK188" s="1">
        <f t="shared" si="61"/>
        <v>4.0286427194488328E-5</v>
      </c>
      <c r="AL188" s="1">
        <f t="shared" si="73"/>
        <v>1.6591353232245636E-4</v>
      </c>
      <c r="AM188" s="1">
        <f t="shared" si="74"/>
        <v>8.138748317440138E-5</v>
      </c>
      <c r="AN188" s="1">
        <f t="shared" si="75"/>
        <v>2.0196984619895241E-4</v>
      </c>
      <c r="AO188" s="1">
        <f t="shared" si="76"/>
        <v>1.9546376533256885E-4</v>
      </c>
      <c r="AP188" s="1">
        <f t="shared" si="77"/>
        <v>1.9359815098796008E-4</v>
      </c>
    </row>
    <row r="189" spans="2:42" x14ac:dyDescent="0.3">
      <c r="B189" s="1">
        <v>0.72725416038143742</v>
      </c>
      <c r="C189" s="1"/>
      <c r="D189" s="4"/>
      <c r="E189" s="1"/>
      <c r="G189" s="4"/>
      <c r="H189" s="4"/>
      <c r="I189" s="1">
        <f t="shared" si="62"/>
        <v>5.1586695841376331</v>
      </c>
      <c r="M189" s="1">
        <f t="shared" si="53"/>
        <v>0.62226102662896854</v>
      </c>
      <c r="N189" s="1">
        <f t="shared" si="54"/>
        <v>1.4089575203459999</v>
      </c>
      <c r="O189" s="1">
        <f t="shared" si="55"/>
        <v>1.0306487506286068</v>
      </c>
      <c r="P189" s="1">
        <f t="shared" si="56"/>
        <v>1.2100441790064127</v>
      </c>
      <c r="R189" s="21">
        <f t="shared" si="63"/>
        <v>0.62226102662896854</v>
      </c>
      <c r="S189" s="21">
        <f t="shared" si="64"/>
        <v>1.4089575203459999</v>
      </c>
      <c r="T189" s="21">
        <f t="shared" si="65"/>
        <v>1.0306487506286068</v>
      </c>
      <c r="U189" s="21">
        <f t="shared" si="66"/>
        <v>1.2100441790064127</v>
      </c>
      <c r="Y189" s="21">
        <f t="shared" si="67"/>
        <v>5.1719834241483689</v>
      </c>
      <c r="Z189" s="21">
        <f t="shared" si="68"/>
        <v>5.1719834241483689</v>
      </c>
      <c r="AB189" s="21">
        <f t="shared" si="57"/>
        <v>-1.3313840010735767E-2</v>
      </c>
      <c r="AD189" s="1">
        <f t="shared" si="69"/>
        <v>1.3967312537691695E-4</v>
      </c>
      <c r="AE189" s="1">
        <f t="shared" si="58"/>
        <v>1.0157786152384098E-4</v>
      </c>
      <c r="AF189" s="1">
        <f t="shared" si="70"/>
        <v>9.8575664395006673E-5</v>
      </c>
      <c r="AG189" s="1">
        <f t="shared" si="59"/>
        <v>7.1689562043632932E-5</v>
      </c>
      <c r="AH189" s="1">
        <f t="shared" si="71"/>
        <v>1.7014574694699933E-4</v>
      </c>
      <c r="AI189" s="1">
        <f t="shared" si="60"/>
        <v>1.2373920233841251E-4</v>
      </c>
      <c r="AJ189" s="1">
        <f t="shared" si="72"/>
        <v>1.0777509412632756E-4</v>
      </c>
      <c r="AK189" s="1">
        <f t="shared" si="61"/>
        <v>7.8379885588872732E-5</v>
      </c>
      <c r="AL189" s="1">
        <f t="shared" si="73"/>
        <v>1.3052784324250752E-4</v>
      </c>
      <c r="AM189" s="1">
        <f t="shared" si="74"/>
        <v>8.1222389739747802E-5</v>
      </c>
      <c r="AN189" s="1">
        <f t="shared" si="75"/>
        <v>1.8390818635107478E-4</v>
      </c>
      <c r="AO189" s="1">
        <f t="shared" si="76"/>
        <v>1.3452835856013701E-4</v>
      </c>
      <c r="AP189" s="1">
        <f t="shared" si="77"/>
        <v>1.5794445691385775E-4</v>
      </c>
    </row>
    <row r="190" spans="2:42" x14ac:dyDescent="0.3">
      <c r="B190" s="1">
        <v>0.3814900411788581</v>
      </c>
      <c r="C190" s="1"/>
      <c r="D190" s="4"/>
      <c r="E190" s="1"/>
      <c r="G190" s="4"/>
      <c r="H190" s="4"/>
      <c r="I190" s="1">
        <f t="shared" si="62"/>
        <v>5.0436603954555936</v>
      </c>
      <c r="M190" s="1">
        <f t="shared" si="53"/>
        <v>0.51712180328364155</v>
      </c>
      <c r="N190" s="1">
        <f t="shared" si="54"/>
        <v>1.2559912941557891</v>
      </c>
      <c r="O190" s="1">
        <f t="shared" si="55"/>
        <v>1.1483501423164661</v>
      </c>
      <c r="P190" s="1">
        <f t="shared" si="56"/>
        <v>1.1755757018513466</v>
      </c>
      <c r="R190" s="21">
        <f t="shared" si="63"/>
        <v>0.51712180328364155</v>
      </c>
      <c r="S190" s="21">
        <f t="shared" si="64"/>
        <v>1.2559912941557891</v>
      </c>
      <c r="T190" s="21">
        <f t="shared" si="65"/>
        <v>1.1483501423164661</v>
      </c>
      <c r="U190" s="21">
        <f t="shared" si="66"/>
        <v>1.1755757018513466</v>
      </c>
      <c r="Y190" s="21">
        <f t="shared" si="67"/>
        <v>5.0689224746129229</v>
      </c>
      <c r="Z190" s="21">
        <f t="shared" si="68"/>
        <v>5.0689224746129229</v>
      </c>
      <c r="AB190" s="21">
        <f t="shared" si="57"/>
        <v>-2.5262079157329254E-2</v>
      </c>
      <c r="AD190" s="1">
        <f t="shared" si="69"/>
        <v>2.6501997519709242E-4</v>
      </c>
      <c r="AE190" s="1">
        <f t="shared" si="58"/>
        <v>1.0110248125115874E-4</v>
      </c>
      <c r="AF190" s="1">
        <f t="shared" si="70"/>
        <v>1.8704042071445646E-4</v>
      </c>
      <c r="AG190" s="1">
        <f t="shared" si="59"/>
        <v>7.1354057800468941E-5</v>
      </c>
      <c r="AH190" s="1">
        <f t="shared" si="71"/>
        <v>3.2283964086935683E-4</v>
      </c>
      <c r="AI190" s="1">
        <f t="shared" si="60"/>
        <v>1.2316010788941871E-4</v>
      </c>
      <c r="AJ190" s="1">
        <f t="shared" si="72"/>
        <v>2.0449569446624562E-4</v>
      </c>
      <c r="AK190" s="1">
        <f t="shared" si="61"/>
        <v>7.8013070902827229E-5</v>
      </c>
      <c r="AL190" s="1">
        <f t="shared" si="73"/>
        <v>2.4766744271891423E-4</v>
      </c>
      <c r="AM190" s="1">
        <f t="shared" si="74"/>
        <v>1.2807423459345292E-4</v>
      </c>
      <c r="AN190" s="1">
        <f t="shared" si="75"/>
        <v>3.1106815190078385E-4</v>
      </c>
      <c r="AO190" s="1">
        <f t="shared" si="76"/>
        <v>2.8440894309342041E-4</v>
      </c>
      <c r="AP190" s="1">
        <f t="shared" si="77"/>
        <v>2.9115182780001578E-4</v>
      </c>
    </row>
    <row r="191" spans="2:42" x14ac:dyDescent="0.3">
      <c r="B191" s="1">
        <v>0.92327477495735222</v>
      </c>
      <c r="C191" s="1"/>
      <c r="D191" s="4"/>
      <c r="E191" s="1"/>
      <c r="G191" s="4"/>
      <c r="H191" s="4"/>
      <c r="I191" s="1">
        <f t="shared" si="62"/>
        <v>5.2557308930217648</v>
      </c>
      <c r="M191" s="1">
        <f t="shared" si="53"/>
        <v>0.68186656124521527</v>
      </c>
      <c r="N191" s="1">
        <f t="shared" si="54"/>
        <v>1.4956771421977857</v>
      </c>
      <c r="O191" s="1">
        <f t="shared" si="55"/>
        <v>0.96392147080470747</v>
      </c>
      <c r="P191" s="1">
        <f t="shared" si="56"/>
        <v>1.2295850500806416</v>
      </c>
      <c r="R191" s="21">
        <f t="shared" si="63"/>
        <v>0.68186656124521527</v>
      </c>
      <c r="S191" s="21">
        <f t="shared" si="64"/>
        <v>1.4956771421977857</v>
      </c>
      <c r="T191" s="21">
        <f t="shared" si="65"/>
        <v>0.96392147080470747</v>
      </c>
      <c r="U191" s="21">
        <f t="shared" si="66"/>
        <v>1.2295850500806416</v>
      </c>
      <c r="Y191" s="21">
        <f t="shared" si="67"/>
        <v>5.2304107436553977</v>
      </c>
      <c r="Z191" s="21">
        <f t="shared" si="68"/>
        <v>5.2304107436553977</v>
      </c>
      <c r="AB191" s="21">
        <f t="shared" si="57"/>
        <v>2.5320149366367062E-2</v>
      </c>
      <c r="AD191" s="1">
        <f t="shared" si="69"/>
        <v>-2.6562917942224917E-4</v>
      </c>
      <c r="AE191" s="1">
        <f t="shared" si="58"/>
        <v>-2.4524872085318324E-4</v>
      </c>
      <c r="AF191" s="1">
        <f t="shared" si="70"/>
        <v>-1.8747037251144689E-4</v>
      </c>
      <c r="AG191" s="1">
        <f t="shared" si="59"/>
        <v>-1.7308666599167712E-4</v>
      </c>
      <c r="AH191" s="1">
        <f t="shared" si="71"/>
        <v>-3.2358175577265592E-4</v>
      </c>
      <c r="AI191" s="1">
        <f t="shared" si="60"/>
        <v>-2.9875487274130379E-4</v>
      </c>
      <c r="AJ191" s="1">
        <f t="shared" si="72"/>
        <v>-2.0496577088596665E-4</v>
      </c>
      <c r="AK191" s="1">
        <f t="shared" si="61"/>
        <v>-1.8923972598870108E-4</v>
      </c>
      <c r="AL191" s="1">
        <f t="shared" si="73"/>
        <v>-2.4823675849379472E-4</v>
      </c>
      <c r="AM191" s="1">
        <f t="shared" si="74"/>
        <v>-1.6926434488882279E-4</v>
      </c>
      <c r="AN191" s="1">
        <f t="shared" si="75"/>
        <v>-3.7128204553244079E-4</v>
      </c>
      <c r="AO191" s="1">
        <f t="shared" si="76"/>
        <v>-2.3928074135513158E-4</v>
      </c>
      <c r="AP191" s="1">
        <f t="shared" si="77"/>
        <v>-3.0522820712444872E-4</v>
      </c>
    </row>
    <row r="192" spans="2:42" x14ac:dyDescent="0.3">
      <c r="B192" s="1">
        <v>0.5383769219225597</v>
      </c>
      <c r="C192" s="1"/>
      <c r="D192" s="4"/>
      <c r="E192" s="1"/>
      <c r="G192" s="4"/>
      <c r="H192" s="4"/>
      <c r="I192" s="1">
        <f t="shared" si="62"/>
        <v>5.0869549130176432</v>
      </c>
      <c r="M192" s="1">
        <f t="shared" si="53"/>
        <v>0.56482763474037379</v>
      </c>
      <c r="N192" s="1">
        <f t="shared" si="54"/>
        <v>1.3253981318041377</v>
      </c>
      <c r="O192" s="1">
        <f t="shared" si="55"/>
        <v>1.0949443573446542</v>
      </c>
      <c r="P192" s="1">
        <f t="shared" si="56"/>
        <v>1.1912154156461594</v>
      </c>
      <c r="R192" s="21">
        <f t="shared" si="63"/>
        <v>0.56482763474037379</v>
      </c>
      <c r="S192" s="21">
        <f t="shared" si="64"/>
        <v>1.3253981318041377</v>
      </c>
      <c r="T192" s="21">
        <f t="shared" si="65"/>
        <v>1.0949443573446542</v>
      </c>
      <c r="U192" s="21">
        <f t="shared" si="66"/>
        <v>1.1912154156461594</v>
      </c>
      <c r="Y192" s="21">
        <f t="shared" si="67"/>
        <v>5.1156853108967733</v>
      </c>
      <c r="Z192" s="21">
        <f t="shared" si="68"/>
        <v>5.1156853108967733</v>
      </c>
      <c r="AB192" s="21">
        <f t="shared" si="57"/>
        <v>-2.873039787913001E-2</v>
      </c>
      <c r="AD192" s="1">
        <f t="shared" si="69"/>
        <v>3.0140548946544466E-4</v>
      </c>
      <c r="AE192" s="1">
        <f t="shared" si="58"/>
        <v>1.6226975966896859E-4</v>
      </c>
      <c r="AF192" s="1">
        <f t="shared" si="70"/>
        <v>2.1271985069554845E-4</v>
      </c>
      <c r="AG192" s="1">
        <f t="shared" si="59"/>
        <v>1.1452345844929585E-4</v>
      </c>
      <c r="AH192" s="1">
        <f t="shared" si="71"/>
        <v>3.6716341816390161E-4</v>
      </c>
      <c r="AI192" s="1">
        <f t="shared" si="60"/>
        <v>1.9767231091364699E-4</v>
      </c>
      <c r="AJ192" s="1">
        <f t="shared" si="72"/>
        <v>2.325716196989932E-4</v>
      </c>
      <c r="AK192" s="1">
        <f t="shared" si="61"/>
        <v>1.2521119274008812E-4</v>
      </c>
      <c r="AL192" s="1">
        <f t="shared" si="73"/>
        <v>2.8167056744245108E-4</v>
      </c>
      <c r="AM192" s="1">
        <f t="shared" si="74"/>
        <v>1.5909532038449857E-4</v>
      </c>
      <c r="AN192" s="1">
        <f t="shared" si="75"/>
        <v>3.7332564387243603E-4</v>
      </c>
      <c r="AO192" s="1">
        <f t="shared" si="76"/>
        <v>3.084135984511787E-4</v>
      </c>
      <c r="AP192" s="1">
        <f t="shared" si="77"/>
        <v>3.3553032207124891E-4</v>
      </c>
    </row>
    <row r="193" spans="2:42" x14ac:dyDescent="0.3">
      <c r="B193" s="1">
        <v>0.6028760288534577</v>
      </c>
      <c r="C193" s="1"/>
      <c r="D193" s="4"/>
      <c r="E193" s="1"/>
      <c r="G193" s="4"/>
      <c r="H193" s="4"/>
      <c r="I193" s="1">
        <f t="shared" si="62"/>
        <v>5.1090378518498349</v>
      </c>
      <c r="M193" s="1">
        <f t="shared" si="53"/>
        <v>0.58444038699708978</v>
      </c>
      <c r="N193" s="1">
        <f t="shared" si="54"/>
        <v>1.3539325702606562</v>
      </c>
      <c r="O193" s="1">
        <f t="shared" si="55"/>
        <v>1.0729882484635507</v>
      </c>
      <c r="P193" s="1">
        <f t="shared" si="56"/>
        <v>1.1976451921044484</v>
      </c>
      <c r="R193" s="21">
        <f t="shared" si="63"/>
        <v>0.58444038699708978</v>
      </c>
      <c r="S193" s="21">
        <f t="shared" si="64"/>
        <v>1.3539325702606562</v>
      </c>
      <c r="T193" s="21">
        <f t="shared" si="65"/>
        <v>1.0729882484635507</v>
      </c>
      <c r="U193" s="21">
        <f t="shared" si="66"/>
        <v>1.1976451921044484</v>
      </c>
      <c r="Y193" s="21">
        <f t="shared" si="67"/>
        <v>5.1349103803453247</v>
      </c>
      <c r="Z193" s="21">
        <f t="shared" si="68"/>
        <v>5.1349103803453247</v>
      </c>
      <c r="AB193" s="21">
        <f t="shared" si="57"/>
        <v>-2.5872528495489711E-2</v>
      </c>
      <c r="AD193" s="1">
        <f t="shared" si="69"/>
        <v>2.7142409052943744E-4</v>
      </c>
      <c r="AE193" s="1">
        <f t="shared" si="58"/>
        <v>1.6363507783354864E-4</v>
      </c>
      <c r="AF193" s="1">
        <f t="shared" si="70"/>
        <v>1.9156018729120188E-4</v>
      </c>
      <c r="AG193" s="1">
        <f t="shared" si="59"/>
        <v>1.1548704500054439E-4</v>
      </c>
      <c r="AH193" s="1">
        <f t="shared" si="71"/>
        <v>3.3064094827059192E-4</v>
      </c>
      <c r="AI193" s="1">
        <f t="shared" si="60"/>
        <v>1.9933550186971598E-4</v>
      </c>
      <c r="AJ193" s="1">
        <f t="shared" si="72"/>
        <v>2.0943726164945845E-4</v>
      </c>
      <c r="AK193" s="1">
        <f t="shared" si="61"/>
        <v>1.2626470459716808E-4</v>
      </c>
      <c r="AL193" s="1">
        <f t="shared" si="73"/>
        <v>2.5365224015185992E-4</v>
      </c>
      <c r="AM193" s="1">
        <f t="shared" si="74"/>
        <v>1.4824461339703178E-4</v>
      </c>
      <c r="AN193" s="1">
        <f t="shared" si="75"/>
        <v>3.434280294611809E-4</v>
      </c>
      <c r="AO193" s="1">
        <f t="shared" si="76"/>
        <v>2.721658728794001E-4</v>
      </c>
      <c r="AP193" s="1">
        <f t="shared" si="77"/>
        <v>3.0378538588439794E-4</v>
      </c>
    </row>
    <row r="194" spans="2:42" x14ac:dyDescent="0.3">
      <c r="B194" s="1">
        <v>0.96590852134782357</v>
      </c>
      <c r="C194" s="1"/>
      <c r="D194" s="4"/>
      <c r="E194" s="1"/>
      <c r="G194" s="4"/>
      <c r="H194" s="4"/>
      <c r="I194" s="1">
        <f t="shared" si="62"/>
        <v>5.2798937814837021</v>
      </c>
      <c r="M194" s="1">
        <f t="shared" si="53"/>
        <v>0.69483054083376694</v>
      </c>
      <c r="N194" s="1">
        <f t="shared" si="54"/>
        <v>1.5145383337775864</v>
      </c>
      <c r="O194" s="1">
        <f t="shared" si="55"/>
        <v>0.94940853842005568</v>
      </c>
      <c r="P194" s="1">
        <f t="shared" si="56"/>
        <v>1.2338351160414589</v>
      </c>
      <c r="R194" s="21">
        <f t="shared" si="63"/>
        <v>0.69483054083376694</v>
      </c>
      <c r="S194" s="21">
        <f t="shared" si="64"/>
        <v>1.5145383337775864</v>
      </c>
      <c r="T194" s="21">
        <f t="shared" si="65"/>
        <v>0.94940853842005568</v>
      </c>
      <c r="U194" s="21">
        <f t="shared" si="66"/>
        <v>1.2338351160414589</v>
      </c>
      <c r="Y194" s="21">
        <f t="shared" si="67"/>
        <v>5.2431184658892391</v>
      </c>
      <c r="Z194" s="21">
        <f t="shared" si="68"/>
        <v>5.2431184658892391</v>
      </c>
      <c r="AB194" s="21">
        <f t="shared" si="57"/>
        <v>3.6775315594463009E-2</v>
      </c>
      <c r="AD194" s="1">
        <f t="shared" si="69"/>
        <v>-3.8580328903300829E-4</v>
      </c>
      <c r="AE194" s="1">
        <f t="shared" si="58"/>
        <v>-3.7265068444100006E-4</v>
      </c>
      <c r="AF194" s="1">
        <f t="shared" si="70"/>
        <v>-2.7228441720323054E-4</v>
      </c>
      <c r="AG194" s="1">
        <f t="shared" si="59"/>
        <v>-2.6300183880682631E-4</v>
      </c>
      <c r="AH194" s="1">
        <f t="shared" si="71"/>
        <v>-4.6997436772456375E-4</v>
      </c>
      <c r="AI194" s="1">
        <f t="shared" si="60"/>
        <v>-4.5395224660021169E-4</v>
      </c>
      <c r="AJ194" s="1">
        <f t="shared" si="72"/>
        <v>-2.9769496227404478E-4</v>
      </c>
      <c r="AK194" s="1">
        <f t="shared" si="61"/>
        <v>-2.875461008228187E-4</v>
      </c>
      <c r="AL194" s="1">
        <f t="shared" si="73"/>
        <v>-3.6054230974963733E-4</v>
      </c>
      <c r="AM194" s="1">
        <f t="shared" si="74"/>
        <v>-2.5051580807679605E-4</v>
      </c>
      <c r="AN194" s="1">
        <f t="shared" si="75"/>
        <v>-5.4605514906453821E-4</v>
      </c>
      <c r="AO194" s="1">
        <f t="shared" si="76"/>
        <v>-3.4230194733799417E-4</v>
      </c>
      <c r="AP194" s="1">
        <f t="shared" si="77"/>
        <v>-4.4484976258779942E-4</v>
      </c>
    </row>
    <row r="195" spans="2:42" x14ac:dyDescent="0.3">
      <c r="B195" s="1">
        <v>0.23713573461785609</v>
      </c>
      <c r="C195" s="1"/>
      <c r="D195" s="4"/>
      <c r="E195" s="1"/>
      <c r="G195" s="4"/>
      <c r="H195" s="4"/>
      <c r="I195" s="1">
        <f t="shared" si="62"/>
        <v>5.0168700069898247</v>
      </c>
      <c r="M195" s="1">
        <f t="shared" si="53"/>
        <v>0.47322685052399804</v>
      </c>
      <c r="N195" s="1">
        <f t="shared" si="54"/>
        <v>1.192128873844895</v>
      </c>
      <c r="O195" s="1">
        <f t="shared" si="55"/>
        <v>1.1974897199497692</v>
      </c>
      <c r="P195" s="1">
        <f t="shared" si="56"/>
        <v>1.1611853332688331</v>
      </c>
      <c r="R195" s="21">
        <f t="shared" si="63"/>
        <v>0.47322685052399804</v>
      </c>
      <c r="S195" s="21">
        <f t="shared" si="64"/>
        <v>1.192128873844895</v>
      </c>
      <c r="T195" s="21">
        <f t="shared" si="65"/>
        <v>1.1974897199497692</v>
      </c>
      <c r="U195" s="21">
        <f t="shared" si="66"/>
        <v>1.1611853332688331</v>
      </c>
      <c r="Y195" s="21">
        <f t="shared" si="67"/>
        <v>5.0258951878660545</v>
      </c>
      <c r="Z195" s="21">
        <f t="shared" si="68"/>
        <v>5.0258951878660545</v>
      </c>
      <c r="AB195" s="21">
        <f t="shared" si="57"/>
        <v>-9.0251808762298324E-3</v>
      </c>
      <c r="AD195" s="1">
        <f t="shared" si="69"/>
        <v>9.4681565878703918E-5</v>
      </c>
      <c r="AE195" s="1">
        <f t="shared" si="58"/>
        <v>2.2452382679415389E-5</v>
      </c>
      <c r="AF195" s="1">
        <f t="shared" si="70"/>
        <v>6.6822434432295576E-5</v>
      </c>
      <c r="AG195" s="1">
        <f t="shared" si="59"/>
        <v>1.5845987078055934E-5</v>
      </c>
      <c r="AH195" s="1">
        <f t="shared" si="71"/>
        <v>1.1533833516698812E-4</v>
      </c>
      <c r="AI195" s="1">
        <f t="shared" si="60"/>
        <v>2.7350840839424232E-5</v>
      </c>
      <c r="AJ195" s="1">
        <f t="shared" si="72"/>
        <v>7.3058540410464754E-5</v>
      </c>
      <c r="AK195" s="1">
        <f t="shared" si="61"/>
        <v>1.7324790650343884E-5</v>
      </c>
      <c r="AL195" s="1">
        <f t="shared" si="73"/>
        <v>8.8482165453233644E-5</v>
      </c>
      <c r="AM195" s="1">
        <f t="shared" si="74"/>
        <v>4.1872136484977063E-5</v>
      </c>
      <c r="AN195" s="1">
        <f t="shared" si="75"/>
        <v>1.0548214425712109E-4</v>
      </c>
      <c r="AO195" s="1">
        <f t="shared" si="76"/>
        <v>1.059564835291419E-4</v>
      </c>
      <c r="AP195" s="1">
        <f t="shared" si="77"/>
        <v>1.0274419278016114E-4</v>
      </c>
    </row>
    <row r="196" spans="2:42" x14ac:dyDescent="0.3">
      <c r="B196" s="1">
        <v>4.236883595669505E-2</v>
      </c>
      <c r="C196" s="1"/>
      <c r="D196" s="4"/>
      <c r="E196" s="1"/>
      <c r="G196" s="4"/>
      <c r="H196" s="4"/>
      <c r="I196" s="1">
        <f t="shared" si="62"/>
        <v>5.000538535478098</v>
      </c>
      <c r="M196" s="1">
        <f t="shared" si="53"/>
        <v>0.41400254319610302</v>
      </c>
      <c r="N196" s="1">
        <f t="shared" si="54"/>
        <v>1.1059638965659375</v>
      </c>
      <c r="O196" s="1">
        <f t="shared" si="55"/>
        <v>1.263790222963258</v>
      </c>
      <c r="P196" s="1">
        <f t="shared" si="56"/>
        <v>1.1417694424223568</v>
      </c>
      <c r="R196" s="21">
        <f t="shared" si="63"/>
        <v>0.41400254319610302</v>
      </c>
      <c r="S196" s="21">
        <f t="shared" si="64"/>
        <v>1.1059638965659375</v>
      </c>
      <c r="T196" s="21">
        <f t="shared" si="65"/>
        <v>1.263790222963258</v>
      </c>
      <c r="U196" s="21">
        <f t="shared" si="66"/>
        <v>1.1417694424223568</v>
      </c>
      <c r="Y196" s="21">
        <f t="shared" si="67"/>
        <v>4.9678415599754961</v>
      </c>
      <c r="Z196" s="21">
        <f t="shared" si="68"/>
        <v>4.9678415599754961</v>
      </c>
      <c r="AB196" s="21">
        <f t="shared" si="57"/>
        <v>3.2696975502601866E-2</v>
      </c>
      <c r="AD196" s="1">
        <f t="shared" si="69"/>
        <v>-3.4301814916946053E-4</v>
      </c>
      <c r="AE196" s="1">
        <f t="shared" si="58"/>
        <v>-1.4533279692330026E-5</v>
      </c>
      <c r="AF196" s="1">
        <f t="shared" si="70"/>
        <v>-2.4208838932097965E-4</v>
      </c>
      <c r="AG196" s="1">
        <f t="shared" si="59"/>
        <v>-1.0257003254161113E-5</v>
      </c>
      <c r="AH196" s="1">
        <f t="shared" si="71"/>
        <v>-4.178547522962528E-4</v>
      </c>
      <c r="AI196" s="1">
        <f t="shared" si="60"/>
        <v>-1.7704019453765379E-5</v>
      </c>
      <c r="AJ196" s="1">
        <f t="shared" si="72"/>
        <v>-2.6468093424568639E-4</v>
      </c>
      <c r="AK196" s="1">
        <f t="shared" si="61"/>
        <v>-1.1214223083920275E-5</v>
      </c>
      <c r="AL196" s="1">
        <f t="shared" si="73"/>
        <v>-3.2055858335884184E-4</v>
      </c>
      <c r="AM196" s="1">
        <f t="shared" si="74"/>
        <v>-1.3271206875390052E-4</v>
      </c>
      <c r="AN196" s="1">
        <f t="shared" si="75"/>
        <v>-3.5452621992920161E-4</v>
      </c>
      <c r="AO196" s="1">
        <f t="shared" si="76"/>
        <v>-4.0511880353585688E-4</v>
      </c>
      <c r="AP196" s="1">
        <f t="shared" si="77"/>
        <v>-3.6600399498532541E-4</v>
      </c>
    </row>
    <row r="197" spans="2:42" x14ac:dyDescent="0.3">
      <c r="B197" s="1">
        <v>0.5414337443638163</v>
      </c>
      <c r="C197" s="1"/>
      <c r="D197" s="4"/>
      <c r="E197" s="1"/>
      <c r="G197" s="4"/>
      <c r="H197" s="4"/>
      <c r="I197" s="1">
        <f t="shared" si="62"/>
        <v>5.0879451498607464</v>
      </c>
      <c r="M197" s="1">
        <f t="shared" ref="M197:M208" si="78">+$K$7+$K$9*B197</f>
        <v>0.56575714685435341</v>
      </c>
      <c r="N197" s="1">
        <f t="shared" ref="N197:N208" si="79">+$K$15+$K$17*B197</f>
        <v>1.3267504716422069</v>
      </c>
      <c r="O197" s="1">
        <f t="shared" ref="O197:O208" si="80">+$K$23+$K$25*B197</f>
        <v>1.0939037859391876</v>
      </c>
      <c r="P197" s="1">
        <f t="shared" ref="P197:P208" si="81">+$K$31+$K$33*B197</f>
        <v>1.1915201436634173</v>
      </c>
      <c r="R197" s="21">
        <f t="shared" si="63"/>
        <v>0.56575714685435341</v>
      </c>
      <c r="S197" s="21">
        <f t="shared" si="64"/>
        <v>1.3267504716422069</v>
      </c>
      <c r="T197" s="21">
        <f t="shared" si="65"/>
        <v>1.0939037859391876</v>
      </c>
      <c r="U197" s="21">
        <f t="shared" si="66"/>
        <v>1.1915201436634173</v>
      </c>
      <c r="Y197" s="21">
        <f t="shared" si="67"/>
        <v>5.116596449461654</v>
      </c>
      <c r="Z197" s="21">
        <f t="shared" si="68"/>
        <v>5.116596449461654</v>
      </c>
      <c r="AB197" s="21">
        <f t="shared" ref="AB197:AB208" si="82">+I197-Z197</f>
        <v>-2.865129960090762E-2</v>
      </c>
      <c r="AD197" s="1">
        <f t="shared" si="69"/>
        <v>3.0057568350996182E-4</v>
      </c>
      <c r="AE197" s="1">
        <f t="shared" ref="AE197:AE208" si="83">+(2/$AT$5)*(-1)*($AB197)*($W$9)*($B197)</f>
        <v>1.6274181778751202E-4</v>
      </c>
      <c r="AF197" s="1">
        <f t="shared" si="70"/>
        <v>2.1213420708544151E-4</v>
      </c>
      <c r="AG197" s="1">
        <f t="shared" ref="AG197:AG208" si="84">+(2/$AT$5)*(-1)*($AB197)*($W$11)*($B197)</f>
        <v>1.1485661804991981E-4</v>
      </c>
      <c r="AH197" s="1">
        <f t="shared" si="71"/>
        <v>3.6615257263627641E-4</v>
      </c>
      <c r="AI197" s="1">
        <f t="shared" ref="AI197:AI208" si="85">+(2/$AT$5)*(-1)*($AB197)*($W$13)*($B197)</f>
        <v>1.9824735841090336E-4</v>
      </c>
      <c r="AJ197" s="1">
        <f t="shared" si="72"/>
        <v>2.3193132175536652E-4</v>
      </c>
      <c r="AK197" s="1">
        <f t="shared" ref="AK197:AK208" si="86">+(2/$AT$5)*(-1)*($AB197)*($W$15)*($B197)</f>
        <v>1.2557544397325714E-4</v>
      </c>
      <c r="AL197" s="1">
        <f t="shared" si="73"/>
        <v>2.8089509412654529E-4</v>
      </c>
      <c r="AM197" s="1">
        <f t="shared" si="74"/>
        <v>1.5891840701841932E-4</v>
      </c>
      <c r="AN197" s="1">
        <f t="shared" si="75"/>
        <v>3.7267769861437606E-4</v>
      </c>
      <c r="AO197" s="1">
        <f t="shared" si="76"/>
        <v>3.0727220691677233E-4</v>
      </c>
      <c r="AP197" s="1">
        <f t="shared" si="77"/>
        <v>3.3469216290801036E-4</v>
      </c>
    </row>
    <row r="198" spans="2:42" x14ac:dyDescent="0.3">
      <c r="B198" s="1">
        <v>0.79486500626776557</v>
      </c>
      <c r="C198" s="1"/>
      <c r="D198" s="4"/>
      <c r="E198" s="1"/>
      <c r="G198" s="4"/>
      <c r="H198" s="4"/>
      <c r="I198" s="1">
        <f t="shared" ref="I198:I208" si="87">+B198*B198*$G$10+$G$8</f>
        <v>5.1895431134567165</v>
      </c>
      <c r="M198" s="1">
        <f t="shared" si="78"/>
        <v>0.64281998989734723</v>
      </c>
      <c r="N198" s="1">
        <f t="shared" si="79"/>
        <v>1.4388685937350236</v>
      </c>
      <c r="O198" s="1">
        <f t="shared" si="80"/>
        <v>1.0076333762387855</v>
      </c>
      <c r="P198" s="1">
        <f t="shared" si="81"/>
        <v>1.2167841579904732</v>
      </c>
      <c r="R198" s="21">
        <f t="shared" ref="R198:R208" si="88">+IF(M198&gt;=0,M198,0)</f>
        <v>0.64281998989734723</v>
      </c>
      <c r="S198" s="21">
        <f t="shared" ref="S198:S208" si="89">+IF(N198&gt;=0,N198,0)</f>
        <v>1.4388685937350236</v>
      </c>
      <c r="T198" s="21">
        <f t="shared" ref="T198:T208" si="90">+IF(O198&gt;=0,O198,0)</f>
        <v>1.0076333762387855</v>
      </c>
      <c r="U198" s="21">
        <f t="shared" ref="U198:U208" si="91">+IF(P198&gt;=0,P198,0)</f>
        <v>1.2167841579904732</v>
      </c>
      <c r="Y198" s="21">
        <f t="shared" ref="Y198:Y208" si="92">+$W$7+$W$9*M198+$W$11*N198+$W$13*O198+P198*$W$15</f>
        <v>5.1921360009744717</v>
      </c>
      <c r="Z198" s="21">
        <f t="shared" ref="Z198:Z208" si="93">+IF(Y198&gt;=0,Y198,0)</f>
        <v>5.1921360009744717</v>
      </c>
      <c r="AB198" s="21">
        <f t="shared" si="82"/>
        <v>-2.5928875177552158E-3</v>
      </c>
      <c r="AD198" s="1">
        <f t="shared" ref="AD198:AD208" si="94">+(2/$AT$5)*(-1)*($AB198)*$W$9</f>
        <v>2.720152135399239E-5</v>
      </c>
      <c r="AE198" s="1">
        <f t="shared" si="83"/>
        <v>2.1621537441533919E-5</v>
      </c>
      <c r="AF198" s="1">
        <f t="shared" ref="AF198:AF208" si="95">+(2/$AT$5)*(-1)*($AB198)*$W$11</f>
        <v>1.9197737809537864E-5</v>
      </c>
      <c r="AG198" s="1">
        <f t="shared" si="84"/>
        <v>1.5259609984305234E-5</v>
      </c>
      <c r="AH198" s="1">
        <f t="shared" ref="AH198:AH208" si="96">+(2/$AT$5)*(-1)*($AB198)*$W$13</f>
        <v>3.3136103716303533E-5</v>
      </c>
      <c r="AI198" s="1">
        <f t="shared" si="85"/>
        <v>2.6338729288148938E-5</v>
      </c>
      <c r="AJ198" s="1">
        <f t="shared" ref="AJ198:AJ208" si="97">+(2/$AT$5)*(-1)*($AB198)*$W$15</f>
        <v>2.0989338617537203E-5</v>
      </c>
      <c r="AK198" s="1">
        <f t="shared" si="86"/>
        <v>1.6683690771784963E-5</v>
      </c>
      <c r="AL198" s="1">
        <f t="shared" ref="AL198:AL208" si="98">+(2/$AT$5)*(-1)*($AB198)</f>
        <v>2.5420465860345252E-5</v>
      </c>
      <c r="AM198" s="1">
        <f t="shared" ref="AM198:AM208" si="99">+(2/$AT$5)*(-1)*($AB198)*R198</f>
        <v>1.6340783607532994E-5</v>
      </c>
      <c r="AN198" s="1">
        <f t="shared" ref="AN198:AN208" si="100">+(2/$AT$5)*(-1)*($AB198)*S198</f>
        <v>3.6576709964564152E-5</v>
      </c>
      <c r="AO198" s="1">
        <f t="shared" ref="AO198:AO208" si="101">+(2/$AT$5)*(-1)*($AB198)*T198</f>
        <v>2.561450984042247E-5</v>
      </c>
      <c r="AP198" s="1">
        <f t="shared" ref="AP198:AP208" si="102">+(2/$AT$5)*(-1)*($AB198)*U198</f>
        <v>3.0931220147605765E-5</v>
      </c>
    </row>
    <row r="199" spans="2:42" x14ac:dyDescent="0.3">
      <c r="B199" s="1">
        <v>4.2244338371168144E-2</v>
      </c>
      <c r="C199" s="1"/>
      <c r="D199" s="4"/>
      <c r="E199" s="1"/>
      <c r="G199" s="4"/>
      <c r="H199" s="4"/>
      <c r="I199" s="1">
        <f t="shared" si="87"/>
        <v>5.0005353752373249</v>
      </c>
      <c r="M199" s="1">
        <f t="shared" si="78"/>
        <v>0.41396468623315136</v>
      </c>
      <c r="N199" s="1">
        <f t="shared" si="79"/>
        <v>1.1059088187693409</v>
      </c>
      <c r="O199" s="1">
        <f t="shared" si="80"/>
        <v>1.2638326031243692</v>
      </c>
      <c r="P199" s="1">
        <f t="shared" si="81"/>
        <v>1.141757031527344</v>
      </c>
      <c r="R199" s="21">
        <f t="shared" si="88"/>
        <v>0.41396468623315136</v>
      </c>
      <c r="S199" s="21">
        <f t="shared" si="89"/>
        <v>1.1059088187693409</v>
      </c>
      <c r="T199" s="21">
        <f t="shared" si="90"/>
        <v>1.2638326031243692</v>
      </c>
      <c r="U199" s="21">
        <f t="shared" si="91"/>
        <v>1.141757031527344</v>
      </c>
      <c r="Y199" s="21">
        <f t="shared" si="92"/>
        <v>4.9678044513263711</v>
      </c>
      <c r="Z199" s="21">
        <f t="shared" si="93"/>
        <v>4.9678044513263711</v>
      </c>
      <c r="AB199" s="21">
        <f t="shared" si="82"/>
        <v>3.2730923910953891E-2</v>
      </c>
      <c r="AD199" s="1">
        <f t="shared" si="94"/>
        <v>-3.4337429587786883E-4</v>
      </c>
      <c r="AE199" s="1">
        <f t="shared" si="83"/>
        <v>-1.4505619943026298E-5</v>
      </c>
      <c r="AF199" s="1">
        <f t="shared" si="95"/>
        <v>-2.4233974331845559E-4</v>
      </c>
      <c r="AG199" s="1">
        <f t="shared" si="84"/>
        <v>-1.0237482117526872E-5</v>
      </c>
      <c r="AH199" s="1">
        <f t="shared" si="96"/>
        <v>-4.182885998783222E-4</v>
      </c>
      <c r="AI199" s="1">
        <f t="shared" si="85"/>
        <v>-1.7670325150062005E-5</v>
      </c>
      <c r="AJ199" s="1">
        <f t="shared" si="97"/>
        <v>-2.6495574548741891E-4</v>
      </c>
      <c r="AK199" s="1">
        <f t="shared" si="86"/>
        <v>-1.1192880165755631E-5</v>
      </c>
      <c r="AL199" s="1">
        <f t="shared" si="98"/>
        <v>-3.2089141089170479E-4</v>
      </c>
      <c r="AM199" s="1">
        <f t="shared" si="99"/>
        <v>-1.3283771222469783E-4</v>
      </c>
      <c r="AN199" s="1">
        <f t="shared" si="100"/>
        <v>-3.5487664117247244E-4</v>
      </c>
      <c r="AO199" s="1">
        <f t="shared" si="101"/>
        <v>-4.0555302714751482E-4</v>
      </c>
      <c r="AP199" s="1">
        <f t="shared" si="102"/>
        <v>-3.6638002474233408E-4</v>
      </c>
    </row>
    <row r="200" spans="2:42" x14ac:dyDescent="0.3">
      <c r="B200" s="1">
        <v>0.40142764666823771</v>
      </c>
      <c r="C200" s="1"/>
      <c r="D200" s="4"/>
      <c r="E200" s="1"/>
      <c r="G200" s="4"/>
      <c r="H200" s="4"/>
      <c r="I200" s="1">
        <f t="shared" si="87"/>
        <v>5.0483432466528795</v>
      </c>
      <c r="M200" s="1">
        <f t="shared" si="78"/>
        <v>0.52318438826600855</v>
      </c>
      <c r="N200" s="1">
        <f t="shared" si="79"/>
        <v>1.2648117011951696</v>
      </c>
      <c r="O200" s="1">
        <f t="shared" si="80"/>
        <v>1.1415631919572573</v>
      </c>
      <c r="P200" s="1">
        <f t="shared" si="81"/>
        <v>1.1775632386175163</v>
      </c>
      <c r="R200" s="21">
        <f t="shared" si="88"/>
        <v>0.52318438826600855</v>
      </c>
      <c r="S200" s="21">
        <f t="shared" si="89"/>
        <v>1.2648117011951696</v>
      </c>
      <c r="T200" s="21">
        <f t="shared" si="90"/>
        <v>1.1415631919572573</v>
      </c>
      <c r="U200" s="21">
        <f t="shared" si="91"/>
        <v>1.1775632386175163</v>
      </c>
      <c r="Y200" s="21">
        <f t="shared" si="92"/>
        <v>5.0748652212401257</v>
      </c>
      <c r="Z200" s="21">
        <f t="shared" si="93"/>
        <v>5.0748652212401257</v>
      </c>
      <c r="AB200" s="21">
        <f t="shared" si="82"/>
        <v>-2.6521974587246255E-2</v>
      </c>
      <c r="AD200" s="1">
        <f t="shared" si="94"/>
        <v>2.7823731386142245E-4</v>
      </c>
      <c r="AE200" s="1">
        <f t="shared" si="83"/>
        <v>1.1169215011868265E-4</v>
      </c>
      <c r="AF200" s="1">
        <f t="shared" si="95"/>
        <v>1.9636868581093914E-4</v>
      </c>
      <c r="AG200" s="1">
        <f t="shared" si="84"/>
        <v>7.8827819424419861E-5</v>
      </c>
      <c r="AH200" s="1">
        <f t="shared" si="96"/>
        <v>3.3894061916153121E-4</v>
      </c>
      <c r="AI200" s="1">
        <f t="shared" si="85"/>
        <v>1.3606013511028886E-4</v>
      </c>
      <c r="AJ200" s="1">
        <f t="shared" si="97"/>
        <v>2.1469450626202674E-4</v>
      </c>
      <c r="AK200" s="1">
        <f t="shared" si="86"/>
        <v>8.6184310401364619E-5</v>
      </c>
      <c r="AL200" s="1">
        <f t="shared" si="98"/>
        <v>2.6001935869849268E-4</v>
      </c>
      <c r="AM200" s="1">
        <f t="shared" si="99"/>
        <v>1.3603806911799074E-4</v>
      </c>
      <c r="AN200" s="1">
        <f t="shared" si="100"/>
        <v>3.2887552741911756E-4</v>
      </c>
      <c r="AO200" s="1">
        <f t="shared" si="101"/>
        <v>2.9682852908653035E-4</v>
      </c>
      <c r="AP200" s="1">
        <f t="shared" si="102"/>
        <v>3.0618923813224673E-4</v>
      </c>
    </row>
    <row r="201" spans="2:42" x14ac:dyDescent="0.3">
      <c r="B201" s="1">
        <v>0.87037841825245243</v>
      </c>
      <c r="C201" s="1"/>
      <c r="D201" s="4"/>
      <c r="E201" s="1"/>
      <c r="G201" s="4"/>
      <c r="H201" s="4"/>
      <c r="I201" s="1">
        <f t="shared" si="87"/>
        <v>5.2272675772878925</v>
      </c>
      <c r="M201" s="1">
        <f t="shared" si="78"/>
        <v>0.6657819487799983</v>
      </c>
      <c r="N201" s="1">
        <f t="shared" si="79"/>
        <v>1.4722757664766133</v>
      </c>
      <c r="O201" s="1">
        <f t="shared" si="80"/>
        <v>0.98192789325751373</v>
      </c>
      <c r="P201" s="1">
        <f t="shared" si="81"/>
        <v>1.2243119266956184</v>
      </c>
      <c r="R201" s="21">
        <f t="shared" si="88"/>
        <v>0.6657819487799983</v>
      </c>
      <c r="S201" s="21">
        <f t="shared" si="89"/>
        <v>1.4722757664766133</v>
      </c>
      <c r="T201" s="21">
        <f t="shared" si="90"/>
        <v>0.98192789325751373</v>
      </c>
      <c r="U201" s="21">
        <f t="shared" si="91"/>
        <v>1.2243119266956184</v>
      </c>
      <c r="Y201" s="21">
        <f t="shared" si="92"/>
        <v>5.2146440737026412</v>
      </c>
      <c r="Z201" s="21">
        <f t="shared" si="93"/>
        <v>5.2146440737026412</v>
      </c>
      <c r="AB201" s="21">
        <f t="shared" si="82"/>
        <v>1.2623503585251328E-2</v>
      </c>
      <c r="AD201" s="1">
        <f t="shared" si="94"/>
        <v>-1.3243092883323082E-4</v>
      </c>
      <c r="AE201" s="1">
        <f t="shared" si="83"/>
        <v>-1.1526502236557054E-4</v>
      </c>
      <c r="AF201" s="1">
        <f t="shared" si="95"/>
        <v>-9.3464413865983529E-5</v>
      </c>
      <c r="AG201" s="1">
        <f t="shared" si="84"/>
        <v>-8.1349408703567324E-5</v>
      </c>
      <c r="AH201" s="1">
        <f t="shared" si="96"/>
        <v>-1.6132351334166399E-4</v>
      </c>
      <c r="AI201" s="1">
        <f t="shared" si="85"/>
        <v>-1.4041250436924591E-4</v>
      </c>
      <c r="AJ201" s="1">
        <f t="shared" si="97"/>
        <v>-1.0218684361592455E-4</v>
      </c>
      <c r="AK201" s="1">
        <f t="shared" si="86"/>
        <v>-8.8941223312639133E-5</v>
      </c>
      <c r="AL201" s="1">
        <f t="shared" si="98"/>
        <v>-1.2375983907109145E-4</v>
      </c>
      <c r="AM201" s="1">
        <f t="shared" si="99"/>
        <v>-8.2397066837450238E-5</v>
      </c>
      <c r="AN201" s="1">
        <f t="shared" si="100"/>
        <v>-1.8220861192741347E-4</v>
      </c>
      <c r="AO201" s="1">
        <f t="shared" si="101"/>
        <v>-1.2152323804896576E-4</v>
      </c>
      <c r="AP201" s="1">
        <f t="shared" si="102"/>
        <v>-1.5152064702066763E-4</v>
      </c>
    </row>
    <row r="202" spans="2:42" x14ac:dyDescent="0.3">
      <c r="B202" s="1">
        <v>0.76644002237160835</v>
      </c>
      <c r="C202" s="1"/>
      <c r="D202" s="4"/>
      <c r="E202" s="1"/>
      <c r="G202" s="4"/>
      <c r="H202" s="4"/>
      <c r="I202" s="1">
        <f t="shared" si="87"/>
        <v>5.1762290923678975</v>
      </c>
      <c r="M202" s="1">
        <f t="shared" si="78"/>
        <v>0.6341765808086951</v>
      </c>
      <c r="N202" s="1">
        <f t="shared" si="79"/>
        <v>1.426293366073633</v>
      </c>
      <c r="O202" s="1">
        <f t="shared" si="80"/>
        <v>1.0173095108562196</v>
      </c>
      <c r="P202" s="1">
        <f t="shared" si="81"/>
        <v>1.2139505328291424</v>
      </c>
      <c r="R202" s="21">
        <f t="shared" si="88"/>
        <v>0.6341765808086951</v>
      </c>
      <c r="S202" s="21">
        <f t="shared" si="89"/>
        <v>1.426293366073633</v>
      </c>
      <c r="T202" s="21">
        <f t="shared" si="90"/>
        <v>1.0173095108562196</v>
      </c>
      <c r="U202" s="21">
        <f t="shared" si="91"/>
        <v>1.2139505328291424</v>
      </c>
      <c r="Y202" s="21">
        <f t="shared" si="92"/>
        <v>5.1836634450666352</v>
      </c>
      <c r="Z202" s="21">
        <f t="shared" si="93"/>
        <v>5.1836634450666352</v>
      </c>
      <c r="AB202" s="21">
        <f t="shared" si="82"/>
        <v>-7.4343526987377118E-3</v>
      </c>
      <c r="AD202" s="1">
        <f t="shared" si="94"/>
        <v>7.7992470673352271E-5</v>
      </c>
      <c r="AE202" s="1">
        <f t="shared" si="83"/>
        <v>5.9776550967701121E-5</v>
      </c>
      <c r="AF202" s="1">
        <f t="shared" si="95"/>
        <v>5.5043943447866415E-5</v>
      </c>
      <c r="AG202" s="1">
        <f t="shared" si="84"/>
        <v>4.2187881247604283E-5</v>
      </c>
      <c r="AH202" s="1">
        <f t="shared" si="96"/>
        <v>9.5008163833588402E-5</v>
      </c>
      <c r="AI202" s="1">
        <f t="shared" si="85"/>
        <v>7.2818059214100928E-5</v>
      </c>
      <c r="AJ202" s="1">
        <f t="shared" si="97"/>
        <v>6.0180838978738414E-5</v>
      </c>
      <c r="AK202" s="1">
        <f t="shared" si="86"/>
        <v>4.6125003573206431E-5</v>
      </c>
      <c r="AL202" s="1">
        <f t="shared" si="98"/>
        <v>7.2885810771938347E-5</v>
      </c>
      <c r="AM202" s="1">
        <f t="shared" si="99"/>
        <v>4.622247426481742E-5</v>
      </c>
      <c r="AN202" s="1">
        <f t="shared" si="100"/>
        <v>1.0395654838491381E-4</v>
      </c>
      <c r="AO202" s="1">
        <f t="shared" si="101"/>
        <v>7.4147428504759582E-5</v>
      </c>
      <c r="AP202" s="1">
        <f t="shared" si="102"/>
        <v>8.8479768822278604E-5</v>
      </c>
    </row>
    <row r="203" spans="2:42" x14ac:dyDescent="0.3">
      <c r="B203" s="1">
        <v>0.8628286933632302</v>
      </c>
      <c r="C203" s="1"/>
      <c r="D203" s="4"/>
      <c r="E203" s="1"/>
      <c r="G203" s="4"/>
      <c r="H203" s="4"/>
      <c r="I203" s="1">
        <f t="shared" si="87"/>
        <v>5.22334200622727</v>
      </c>
      <c r="M203" s="1">
        <f t="shared" si="78"/>
        <v>0.6634862443756363</v>
      </c>
      <c r="N203" s="1">
        <f t="shared" si="79"/>
        <v>1.4689357642585057</v>
      </c>
      <c r="O203" s="1">
        <f t="shared" si="80"/>
        <v>0.9844978913486151</v>
      </c>
      <c r="P203" s="1">
        <f t="shared" si="81"/>
        <v>1.2235593109514766</v>
      </c>
      <c r="R203" s="21">
        <f t="shared" si="88"/>
        <v>0.6634862443756363</v>
      </c>
      <c r="S203" s="21">
        <f t="shared" si="89"/>
        <v>1.4689357642585057</v>
      </c>
      <c r="T203" s="21">
        <f t="shared" si="90"/>
        <v>0.9844978913486151</v>
      </c>
      <c r="U203" s="21">
        <f t="shared" si="91"/>
        <v>1.2235593109514766</v>
      </c>
      <c r="Y203" s="21">
        <f t="shared" si="92"/>
        <v>5.2123937481986262</v>
      </c>
      <c r="Z203" s="21">
        <f t="shared" si="93"/>
        <v>5.2123937481986262</v>
      </c>
      <c r="AB203" s="21">
        <f t="shared" si="82"/>
        <v>1.0948258028643743E-2</v>
      </c>
      <c r="AD203" s="1">
        <f t="shared" si="94"/>
        <v>-1.1485622593185177E-4</v>
      </c>
      <c r="AE203" s="1">
        <f t="shared" si="83"/>
        <v>-9.9101247345411621E-5</v>
      </c>
      <c r="AF203" s="1">
        <f t="shared" si="95"/>
        <v>-8.1060896651249532E-5</v>
      </c>
      <c r="AG203" s="1">
        <f t="shared" si="84"/>
        <v>-6.9941667540449472E-5</v>
      </c>
      <c r="AH203" s="1">
        <f t="shared" si="96"/>
        <v>-1.3991452042010286E-4</v>
      </c>
      <c r="AI203" s="1">
        <f t="shared" si="85"/>
        <v>-1.2072226283662035E-4</v>
      </c>
      <c r="AJ203" s="1">
        <f t="shared" si="97"/>
        <v>-8.8625786294933311E-5</v>
      </c>
      <c r="AK203" s="1">
        <f t="shared" si="86"/>
        <v>-7.6468871387146183E-5</v>
      </c>
      <c r="AL203" s="1">
        <f t="shared" si="98"/>
        <v>-1.0733586302591904E-4</v>
      </c>
      <c r="AM203" s="1">
        <f t="shared" si="99"/>
        <v>-7.1215868645884743E-5</v>
      </c>
      <c r="AN203" s="1">
        <f t="shared" si="100"/>
        <v>-1.5766948798632467E-4</v>
      </c>
      <c r="AO203" s="1">
        <f t="shared" si="101"/>
        <v>-1.0567193081510107E-4</v>
      </c>
      <c r="AP203" s="1">
        <f t="shared" si="102"/>
        <v>-1.3133179460437559E-4</v>
      </c>
    </row>
    <row r="204" spans="2:42" x14ac:dyDescent="0.3">
      <c r="B204" s="1">
        <v>0.13872560748283336</v>
      </c>
      <c r="C204" s="1"/>
      <c r="D204" s="4"/>
      <c r="E204" s="1"/>
      <c r="G204" s="4"/>
      <c r="H204" s="4"/>
      <c r="I204" s="1">
        <f t="shared" si="87"/>
        <v>5.0057734382514445</v>
      </c>
      <c r="M204" s="1">
        <f t="shared" si="78"/>
        <v>0.44330250684093031</v>
      </c>
      <c r="N204" s="1">
        <f t="shared" si="79"/>
        <v>1.1485921824106873</v>
      </c>
      <c r="O204" s="1">
        <f t="shared" si="80"/>
        <v>1.2309894623368183</v>
      </c>
      <c r="P204" s="1">
        <f t="shared" si="81"/>
        <v>1.1513750405559755</v>
      </c>
      <c r="R204" s="21">
        <f t="shared" si="88"/>
        <v>0.44330250684093031</v>
      </c>
      <c r="S204" s="21">
        <f t="shared" si="89"/>
        <v>1.1485921824106873</v>
      </c>
      <c r="T204" s="21">
        <f t="shared" si="90"/>
        <v>1.2309894623368183</v>
      </c>
      <c r="U204" s="21">
        <f t="shared" si="91"/>
        <v>1.1513750405559755</v>
      </c>
      <c r="Y204" s="21">
        <f t="shared" si="92"/>
        <v>4.9965623549225144</v>
      </c>
      <c r="Z204" s="21">
        <f t="shared" si="93"/>
        <v>4.9965623549225144</v>
      </c>
      <c r="AB204" s="21">
        <f t="shared" si="82"/>
        <v>9.2110833289300587E-3</v>
      </c>
      <c r="AD204" s="1">
        <f t="shared" si="94"/>
        <v>-9.663183541498627E-5</v>
      </c>
      <c r="AE204" s="1">
        <f t="shared" si="83"/>
        <v>-1.340531007012514E-5</v>
      </c>
      <c r="AF204" s="1">
        <f t="shared" si="95"/>
        <v>-6.8198856093725275E-5</v>
      </c>
      <c r="AG204" s="1">
        <f t="shared" si="84"/>
        <v>-9.4609277412363705E-6</v>
      </c>
      <c r="AH204" s="1">
        <f t="shared" si="96"/>
        <v>-1.1771409690428208E-4</v>
      </c>
      <c r="AI204" s="1">
        <f t="shared" si="85"/>
        <v>-1.6329959602339646E-5</v>
      </c>
      <c r="AJ204" s="1">
        <f t="shared" si="97"/>
        <v>-7.4563414610689935E-5</v>
      </c>
      <c r="AK204" s="1">
        <f t="shared" si="86"/>
        <v>-1.0343854987862334E-5</v>
      </c>
      <c r="AL204" s="1">
        <f t="shared" si="98"/>
        <v>-9.0304738518922145E-5</v>
      </c>
      <c r="AM204" s="1">
        <f t="shared" si="99"/>
        <v>-4.0032316965052904E-5</v>
      </c>
      <c r="AN204" s="1">
        <f t="shared" si="100"/>
        <v>-1.0372331669747525E-4</v>
      </c>
      <c r="AO204" s="1">
        <f t="shared" si="101"/>
        <v>-1.1116418151587493E-4</v>
      </c>
      <c r="AP204" s="1">
        <f t="shared" si="102"/>
        <v>-1.0397462197462075E-4</v>
      </c>
    </row>
    <row r="205" spans="2:42" x14ac:dyDescent="0.3">
      <c r="B205" s="1">
        <v>0.4843719655146157</v>
      </c>
      <c r="C205" s="1"/>
      <c r="D205" s="4"/>
      <c r="E205" s="1"/>
      <c r="G205" s="4"/>
      <c r="H205" s="4"/>
      <c r="I205" s="1">
        <f t="shared" si="87"/>
        <v>5.0703848602929478</v>
      </c>
      <c r="M205" s="1">
        <f t="shared" si="78"/>
        <v>0.54840592161807389</v>
      </c>
      <c r="N205" s="1">
        <f t="shared" si="79"/>
        <v>1.3015063109976821</v>
      </c>
      <c r="O205" s="1">
        <f t="shared" si="80"/>
        <v>1.1133281576704857</v>
      </c>
      <c r="P205" s="1">
        <f t="shared" si="81"/>
        <v>1.1858317783546424</v>
      </c>
      <c r="R205" s="21">
        <f t="shared" si="88"/>
        <v>0.54840592161807389</v>
      </c>
      <c r="S205" s="21">
        <f t="shared" si="89"/>
        <v>1.3015063109976821</v>
      </c>
      <c r="T205" s="21">
        <f t="shared" si="90"/>
        <v>1.1133281576704857</v>
      </c>
      <c r="U205" s="21">
        <f t="shared" si="91"/>
        <v>1.1858317783546424</v>
      </c>
      <c r="Y205" s="21">
        <f t="shared" si="92"/>
        <v>5.0995882037132425</v>
      </c>
      <c r="Z205" s="21">
        <f t="shared" si="93"/>
        <v>5.0995882037132425</v>
      </c>
      <c r="AB205" s="21">
        <f t="shared" si="82"/>
        <v>-2.9203343420294736E-2</v>
      </c>
      <c r="AD205" s="1">
        <f t="shared" si="94"/>
        <v>3.0636707694240762E-4</v>
      </c>
      <c r="AE205" s="1">
        <f t="shared" si="83"/>
        <v>1.4839562322756147E-4</v>
      </c>
      <c r="AF205" s="1">
        <f t="shared" si="95"/>
        <v>2.1622153923209203E-4</v>
      </c>
      <c r="AG205" s="1">
        <f t="shared" si="84"/>
        <v>1.0473165194444401E-4</v>
      </c>
      <c r="AH205" s="1">
        <f t="shared" si="96"/>
        <v>3.7320748000495106E-4</v>
      </c>
      <c r="AI205" s="1">
        <f t="shared" si="85"/>
        <v>1.8077124063475478E-4</v>
      </c>
      <c r="AJ205" s="1">
        <f t="shared" si="97"/>
        <v>2.3640009819764975E-4</v>
      </c>
      <c r="AK205" s="1">
        <f t="shared" si="86"/>
        <v>1.1450558021184377E-4</v>
      </c>
      <c r="AL205" s="1">
        <f t="shared" si="98"/>
        <v>2.8630728843426212E-4</v>
      </c>
      <c r="AM205" s="1">
        <f t="shared" si="99"/>
        <v>1.5701261237976321E-4</v>
      </c>
      <c r="AN205" s="1">
        <f t="shared" si="100"/>
        <v>3.7263074278182584E-4</v>
      </c>
      <c r="AO205" s="1">
        <f t="shared" si="101"/>
        <v>3.187539659601494E-4</v>
      </c>
      <c r="AP205" s="1">
        <f t="shared" si="102"/>
        <v>3.3951228099989657E-4</v>
      </c>
    </row>
    <row r="206" spans="2:42" x14ac:dyDescent="0.3">
      <c r="B206" s="1">
        <v>0.42740853705115212</v>
      </c>
      <c r="C206" s="1"/>
      <c r="D206" s="4"/>
      <c r="E206" s="1"/>
      <c r="G206" s="4"/>
      <c r="H206" s="4"/>
      <c r="I206" s="1">
        <f t="shared" si="87"/>
        <v>5.0548034172632619</v>
      </c>
      <c r="M206" s="1">
        <f t="shared" si="78"/>
        <v>0.53108460255943923</v>
      </c>
      <c r="N206" s="1">
        <f t="shared" si="79"/>
        <v>1.2763056606149656</v>
      </c>
      <c r="O206" s="1">
        <f t="shared" si="80"/>
        <v>1.1327190499959363</v>
      </c>
      <c r="P206" s="1">
        <f t="shared" si="81"/>
        <v>1.1801532173830893</v>
      </c>
      <c r="R206" s="21">
        <f t="shared" si="88"/>
        <v>0.53108460255943923</v>
      </c>
      <c r="S206" s="21">
        <f t="shared" si="89"/>
        <v>1.2763056606149656</v>
      </c>
      <c r="T206" s="21">
        <f t="shared" si="90"/>
        <v>1.1327190499959363</v>
      </c>
      <c r="U206" s="21">
        <f t="shared" si="91"/>
        <v>1.1801532173830893</v>
      </c>
      <c r="Y206" s="21">
        <f t="shared" si="92"/>
        <v>5.0826092729908234</v>
      </c>
      <c r="Z206" s="21">
        <f t="shared" si="93"/>
        <v>5.0826092729908234</v>
      </c>
      <c r="AB206" s="21">
        <f t="shared" si="82"/>
        <v>-2.7805855727561557E-2</v>
      </c>
      <c r="AD206" s="1">
        <f t="shared" si="94"/>
        <v>2.9170628234352218E-4</v>
      </c>
      <c r="AE206" s="1">
        <f t="shared" si="83"/>
        <v>1.2467775538507514E-4</v>
      </c>
      <c r="AF206" s="1">
        <f t="shared" si="95"/>
        <v>2.0587454109451976E-4</v>
      </c>
      <c r="AG206" s="1">
        <f t="shared" si="84"/>
        <v>8.7992536425285993E-5</v>
      </c>
      <c r="AH206" s="1">
        <f t="shared" si="96"/>
        <v>3.5534812559348213E-4</v>
      </c>
      <c r="AI206" s="1">
        <f t="shared" si="85"/>
        <v>1.5187882250377926E-4</v>
      </c>
      <c r="AJ206" s="1">
        <f t="shared" si="97"/>
        <v>2.2508748158942454E-4</v>
      </c>
      <c r="AK206" s="1">
        <f t="shared" si="86"/>
        <v>9.6204311214664081E-5</v>
      </c>
      <c r="AL206" s="1">
        <f t="shared" si="98"/>
        <v>2.7260642870158389E-4</v>
      </c>
      <c r="AM206" s="1">
        <f t="shared" si="99"/>
        <v>1.4477707684212878E-4</v>
      </c>
      <c r="AN206" s="1">
        <f t="shared" si="100"/>
        <v>3.4792912807186157E-4</v>
      </c>
      <c r="AO206" s="1">
        <f t="shared" si="101"/>
        <v>3.0878649494164303E-4</v>
      </c>
      <c r="AP206" s="1">
        <f t="shared" si="102"/>
        <v>3.2171735391148796E-4</v>
      </c>
    </row>
    <row r="207" spans="2:42" x14ac:dyDescent="0.3">
      <c r="B207" s="1">
        <v>0.17456931936138365</v>
      </c>
      <c r="C207" s="1"/>
      <c r="D207" s="4"/>
      <c r="E207" s="1"/>
      <c r="G207" s="4"/>
      <c r="H207" s="4"/>
      <c r="I207" s="1">
        <f t="shared" si="87"/>
        <v>5.0091423341786889</v>
      </c>
      <c r="M207" s="1">
        <f t="shared" si="78"/>
        <v>0.45420178707109343</v>
      </c>
      <c r="N207" s="1">
        <f t="shared" si="79"/>
        <v>1.1644494591904642</v>
      </c>
      <c r="O207" s="1">
        <f t="shared" si="80"/>
        <v>1.2187879222201232</v>
      </c>
      <c r="P207" s="1">
        <f t="shared" si="81"/>
        <v>1.1549482226631529</v>
      </c>
      <c r="R207" s="21">
        <f t="shared" si="88"/>
        <v>0.45420178707109343</v>
      </c>
      <c r="S207" s="21">
        <f t="shared" si="89"/>
        <v>1.1644494591904642</v>
      </c>
      <c r="T207" s="21">
        <f t="shared" si="90"/>
        <v>1.2187879222201232</v>
      </c>
      <c r="U207" s="21">
        <f t="shared" si="91"/>
        <v>1.1549482226631529</v>
      </c>
      <c r="Y207" s="21">
        <f t="shared" si="92"/>
        <v>5.0072461904506138</v>
      </c>
      <c r="Z207" s="21">
        <f t="shared" si="93"/>
        <v>5.0072461904506138</v>
      </c>
      <c r="AB207" s="21">
        <f t="shared" si="82"/>
        <v>1.896143728075117E-3</v>
      </c>
      <c r="AD207" s="1">
        <f t="shared" si="94"/>
        <v>-1.9892106293190662E-5</v>
      </c>
      <c r="AE207" s="1">
        <f t="shared" si="83"/>
        <v>-3.4725514562665902E-6</v>
      </c>
      <c r="AF207" s="1">
        <f t="shared" si="95"/>
        <v>-1.4039047159400263E-5</v>
      </c>
      <c r="AG207" s="1">
        <f t="shared" si="84"/>
        <v>-2.4507869070988703E-6</v>
      </c>
      <c r="AH207" s="1">
        <f t="shared" si="96"/>
        <v>-2.4231986464615755E-5</v>
      </c>
      <c r="AI207" s="1">
        <f t="shared" si="85"/>
        <v>-4.2301613839022332E-6</v>
      </c>
      <c r="AJ207" s="1">
        <f t="shared" si="97"/>
        <v>-1.5349220706088982E-5</v>
      </c>
      <c r="AK207" s="1">
        <f t="shared" si="86"/>
        <v>-2.6795030113896101E-6</v>
      </c>
      <c r="AL207" s="1">
        <f t="shared" si="98"/>
        <v>-1.8589644392893305E-5</v>
      </c>
      <c r="AM207" s="1">
        <f t="shared" si="99"/>
        <v>-8.44344970426827E-6</v>
      </c>
      <c r="AN207" s="1">
        <f t="shared" si="100"/>
        <v>-2.1646701359847653E-5</v>
      </c>
      <c r="AO207" s="1">
        <f t="shared" si="101"/>
        <v>-2.2656834064425393E-5</v>
      </c>
      <c r="AP207" s="1">
        <f t="shared" si="102"/>
        <v>-2.1470076751512168E-5</v>
      </c>
    </row>
    <row r="208" spans="2:42" x14ac:dyDescent="0.3">
      <c r="B208" s="1">
        <v>0.62265121100940202</v>
      </c>
      <c r="C208" s="1"/>
      <c r="D208" s="4"/>
      <c r="E208" s="1"/>
      <c r="G208" s="4"/>
      <c r="H208" s="4"/>
      <c r="I208" s="1">
        <f t="shared" si="87"/>
        <v>5.1163083591714429</v>
      </c>
      <c r="M208" s="1">
        <f t="shared" si="78"/>
        <v>0.59045358263515491</v>
      </c>
      <c r="N208" s="1">
        <f t="shared" si="79"/>
        <v>1.3626811211328378</v>
      </c>
      <c r="O208" s="1">
        <f t="shared" si="80"/>
        <v>1.066256588550418</v>
      </c>
      <c r="P208" s="1">
        <f t="shared" si="81"/>
        <v>1.19961653723983</v>
      </c>
      <c r="R208" s="21">
        <f t="shared" si="88"/>
        <v>0.59045358263515491</v>
      </c>
      <c r="S208" s="21">
        <f t="shared" si="89"/>
        <v>1.3626811211328378</v>
      </c>
      <c r="T208" s="21">
        <f t="shared" si="90"/>
        <v>1.066256588550418</v>
      </c>
      <c r="U208" s="21">
        <f t="shared" si="91"/>
        <v>1.19961653723983</v>
      </c>
      <c r="Y208" s="21">
        <f t="shared" si="92"/>
        <v>5.1408047139011845</v>
      </c>
      <c r="Z208" s="21">
        <f t="shared" si="93"/>
        <v>5.1408047139011845</v>
      </c>
      <c r="AB208" s="21">
        <f t="shared" si="82"/>
        <v>-2.4496354729741654E-2</v>
      </c>
      <c r="AD208" s="1">
        <f t="shared" si="94"/>
        <v>2.5698689654417414E-4</v>
      </c>
      <c r="AE208" s="1">
        <f t="shared" si="83"/>
        <v>1.6001320234677795E-4</v>
      </c>
      <c r="AF208" s="1">
        <f t="shared" si="95"/>
        <v>1.8137099745775006E-4</v>
      </c>
      <c r="AG208" s="1">
        <f t="shared" si="84"/>
        <v>1.1293087120905125E-4</v>
      </c>
      <c r="AH208" s="1">
        <f t="shared" si="96"/>
        <v>3.1305397763602979E-4</v>
      </c>
      <c r="AI208" s="1">
        <f t="shared" si="85"/>
        <v>1.9492343828638421E-4</v>
      </c>
      <c r="AJ208" s="1">
        <f t="shared" si="97"/>
        <v>1.9829718057457079E-4</v>
      </c>
      <c r="AK208" s="1">
        <f t="shared" si="86"/>
        <v>1.2346997962450656E-4</v>
      </c>
      <c r="AL208" s="1">
        <f t="shared" si="98"/>
        <v>2.4016034048766327E-4</v>
      </c>
      <c r="AM208" s="1">
        <f t="shared" si="99"/>
        <v>1.4180353344781942E-4</v>
      </c>
      <c r="AN208" s="1">
        <f t="shared" si="100"/>
        <v>3.2726196202737304E-4</v>
      </c>
      <c r="AO208" s="1">
        <f t="shared" si="101"/>
        <v>2.5607254535348268E-4</v>
      </c>
      <c r="AP208" s="1">
        <f t="shared" si="102"/>
        <v>2.8810031603814917E-4</v>
      </c>
    </row>
  </sheetData>
  <mergeCells count="16">
    <mergeCell ref="AT40:AU40"/>
    <mergeCell ref="AT5:AU5"/>
    <mergeCell ref="AT12:AU12"/>
    <mergeCell ref="AT16:AU16"/>
    <mergeCell ref="W2:Z2"/>
    <mergeCell ref="K2:U2"/>
    <mergeCell ref="B2:C3"/>
    <mergeCell ref="AT24:AZ25"/>
    <mergeCell ref="E2:I3"/>
    <mergeCell ref="AD3:AP3"/>
    <mergeCell ref="M3:P3"/>
    <mergeCell ref="AT6:AU6"/>
    <mergeCell ref="AT9:AU9"/>
    <mergeCell ref="AT10:AU10"/>
    <mergeCell ref="R3:U3"/>
    <mergeCell ref="AT4:AU4"/>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itera_primerahoja">
                <anchor moveWithCells="1" sizeWithCells="1">
                  <from>
                    <xdr:col>22</xdr:col>
                    <xdr:colOff>121920</xdr:colOff>
                    <xdr:row>20</xdr:row>
                    <xdr:rowOff>83820</xdr:rowOff>
                  </from>
                  <to>
                    <xdr:col>22</xdr:col>
                    <xdr:colOff>1722120</xdr:colOff>
                    <xdr:row>22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AA7BD0-DAFD-4A0E-AA3E-70F6D90775E1}">
  <sheetPr codeName="Hoja4"/>
  <dimension ref="A1:P201"/>
  <sheetViews>
    <sheetView showGridLines="0" zoomScale="130" zoomScaleNormal="130" workbookViewId="0">
      <selection activeCell="H4" sqref="H4"/>
    </sheetView>
  </sheetViews>
  <sheetFormatPr baseColWidth="10" defaultRowHeight="14.4" x14ac:dyDescent="0.3"/>
  <cols>
    <col min="2" max="2" width="11.88671875" bestFit="1" customWidth="1"/>
    <col min="3" max="3" width="8.5546875" customWidth="1"/>
    <col min="4" max="4" width="12.33203125" bestFit="1" customWidth="1"/>
    <col min="5" max="5" width="6.88671875" customWidth="1"/>
    <col min="8" max="8" width="13.33203125" bestFit="1" customWidth="1"/>
    <col min="9" max="9" width="14.33203125" bestFit="1" customWidth="1"/>
    <col min="10" max="11" width="14.33203125" customWidth="1"/>
    <col min="13" max="13" width="12.5546875" bestFit="1" customWidth="1"/>
    <col min="15" max="16" width="12.6640625" bestFit="1" customWidth="1"/>
  </cols>
  <sheetData>
    <row r="1" spans="1:16" x14ac:dyDescent="0.3">
      <c r="A1" t="s">
        <v>8</v>
      </c>
      <c r="N1" s="54" t="s">
        <v>63</v>
      </c>
      <c r="O1" s="61"/>
      <c r="P1" s="55"/>
    </row>
    <row r="2" spans="1:16" x14ac:dyDescent="0.3">
      <c r="A2" s="1" t="s">
        <v>15</v>
      </c>
      <c r="B2" s="1" t="s">
        <v>16</v>
      </c>
      <c r="F2" s="1" t="s">
        <v>1</v>
      </c>
      <c r="H2" s="1" t="s">
        <v>62</v>
      </c>
      <c r="J2" s="26"/>
      <c r="L2" s="1" t="s">
        <v>9</v>
      </c>
      <c r="M2" s="1" t="s">
        <v>10</v>
      </c>
      <c r="N2" s="1" t="s">
        <v>11</v>
      </c>
      <c r="O2" s="1" t="s">
        <v>57</v>
      </c>
      <c r="P2" s="1" t="s">
        <v>56</v>
      </c>
    </row>
    <row r="3" spans="1:16" x14ac:dyDescent="0.3">
      <c r="A3" s="1">
        <v>6.1632368062448095E-2</v>
      </c>
      <c r="B3" s="1">
        <v>0.49754190738395709</v>
      </c>
      <c r="D3" s="1" t="s">
        <v>60</v>
      </c>
      <c r="F3" s="1">
        <f>+$D$6+A3*$D$8+$D$10*B3</f>
        <v>10.42884970993839</v>
      </c>
      <c r="H3" s="1" t="s">
        <v>7</v>
      </c>
      <c r="L3" s="1">
        <f>+$H$4+$H$6*A3+$H$9*B3</f>
        <v>10.522349004963225</v>
      </c>
      <c r="M3" s="21">
        <f>+(F3-L3)</f>
        <v>-9.3499295024834339E-2</v>
      </c>
      <c r="N3" s="21">
        <f>+(2/199)*(-M3)</f>
        <v>9.396914072847672E-4</v>
      </c>
      <c r="O3" s="1">
        <f>+(-M3*A3)*(2/199)</f>
        <v>5.7915406678894597E-5</v>
      </c>
      <c r="P3" s="1">
        <f>+(-M3*B3)*(2/199)</f>
        <v>4.67535855132778E-4</v>
      </c>
    </row>
    <row r="4" spans="1:16" x14ac:dyDescent="0.3">
      <c r="A4" s="1">
        <v>0.97884759716624836</v>
      </c>
      <c r="B4" s="1">
        <v>0.89130239317497728</v>
      </c>
      <c r="D4" s="1" t="s">
        <v>61</v>
      </c>
      <c r="F4" s="1">
        <f>+$D$6+A4*$D$8+$D$10*B4</f>
        <v>11.202465713123106</v>
      </c>
      <c r="H4" s="1">
        <v>10.219549292451349</v>
      </c>
      <c r="L4" s="1">
        <f>+$H$4+$H$6*A4+$H$9*B4</f>
        <v>11.044637499429919</v>
      </c>
      <c r="M4" s="21">
        <f t="shared" ref="M4:M67" si="0">+(F4-L4)</f>
        <v>0.15782821369318611</v>
      </c>
      <c r="N4" s="21">
        <f t="shared" ref="N4:N67" si="1">+(2/199)*(-M4)</f>
        <v>-1.5862132029465942E-3</v>
      </c>
      <c r="O4" s="1">
        <f t="shared" ref="O4:O67" si="2">+(-M4*A4)*(2/199)</f>
        <v>-1.5526609822976525E-3</v>
      </c>
      <c r="P4" s="1">
        <f t="shared" ref="P4:P67" si="3">+(-M4*B4)*(2/199)</f>
        <v>-1.4137956238720452E-3</v>
      </c>
    </row>
    <row r="5" spans="1:16" x14ac:dyDescent="0.3">
      <c r="A5" s="1">
        <v>0.12893344323694012</v>
      </c>
      <c r="B5" s="1">
        <v>0.55614435505120741</v>
      </c>
      <c r="D5" s="1" t="s">
        <v>7</v>
      </c>
      <c r="F5" s="1">
        <f t="shared" ref="F5:F68" si="4">+$D$6+A5*$D$8+$D$10*B5</f>
        <v>10.509382205659435</v>
      </c>
      <c r="H5" s="1" t="s">
        <v>54</v>
      </c>
      <c r="L5" s="1">
        <f>+$H$4+$H$6*A5+$H$9*B5</f>
        <v>10.577555643017114</v>
      </c>
      <c r="M5" s="21">
        <f t="shared" si="0"/>
        <v>-6.8173437357678779E-2</v>
      </c>
      <c r="N5" s="21">
        <f t="shared" si="1"/>
        <v>6.85160174449033E-4</v>
      </c>
      <c r="O5" s="1">
        <f t="shared" si="2"/>
        <v>8.8340060460536369E-5</v>
      </c>
      <c r="P5" s="1">
        <f t="shared" si="3"/>
        <v>3.8104796332573019E-4</v>
      </c>
    </row>
    <row r="6" spans="1:16" x14ac:dyDescent="0.3">
      <c r="A6" s="1">
        <v>0.49624303541117343</v>
      </c>
      <c r="B6" s="1">
        <v>0.49019937975353689</v>
      </c>
      <c r="D6" s="1">
        <v>10</v>
      </c>
      <c r="E6" t="s">
        <v>8</v>
      </c>
      <c r="F6" s="1">
        <f t="shared" si="4"/>
        <v>10.640281021508416</v>
      </c>
      <c r="H6" s="1">
        <v>0.32546830929812892</v>
      </c>
      <c r="L6" s="1">
        <f t="shared" ref="L6:L69" si="5">+$H$4+$H$6*A6+$H$9*B6</f>
        <v>10.659628433569917</v>
      </c>
      <c r="M6" s="21">
        <f t="shared" si="0"/>
        <v>-1.9347412061501146E-2</v>
      </c>
      <c r="N6" s="21">
        <f t="shared" si="1"/>
        <v>1.9444635237689595E-4</v>
      </c>
      <c r="O6" s="1">
        <f t="shared" si="2"/>
        <v>9.6492648128141472E-5</v>
      </c>
      <c r="P6" s="1">
        <f t="shared" si="3"/>
        <v>9.5317481330492061E-5</v>
      </c>
    </row>
    <row r="7" spans="1:16" x14ac:dyDescent="0.3">
      <c r="A7" s="1">
        <v>0.44920331102321442</v>
      </c>
      <c r="B7" s="1">
        <v>0.65588534807558219</v>
      </c>
      <c r="D7" s="1" t="s">
        <v>54</v>
      </c>
      <c r="F7" s="1">
        <f t="shared" si="4"/>
        <v>10.749309933972073</v>
      </c>
      <c r="H7" s="1"/>
      <c r="L7" s="1">
        <f t="shared" si="5"/>
        <v>10.738473588568855</v>
      </c>
      <c r="M7" s="21">
        <f t="shared" si="0"/>
        <v>1.0836345403218317E-2</v>
      </c>
      <c r="N7" s="21">
        <f t="shared" si="1"/>
        <v>-1.0890799400219415E-4</v>
      </c>
      <c r="O7" s="1">
        <f t="shared" si="2"/>
        <v>-4.892183150268199E-5</v>
      </c>
      <c r="P7" s="1">
        <f t="shared" si="3"/>
        <v>-7.1431157554342525E-5</v>
      </c>
    </row>
    <row r="8" spans="1:16" x14ac:dyDescent="0.3">
      <c r="A8" s="1">
        <v>0.14573162412979135</v>
      </c>
      <c r="B8" s="1">
        <v>2.3896410193167128E-2</v>
      </c>
      <c r="D8" s="1">
        <v>0.5</v>
      </c>
      <c r="F8" s="1">
        <f t="shared" si="4"/>
        <v>10.091982940219429</v>
      </c>
      <c r="H8" s="1" t="s">
        <v>55</v>
      </c>
      <c r="L8" s="1">
        <f t="shared" si="5"/>
        <v>10.280560035980226</v>
      </c>
      <c r="M8" s="21">
        <f t="shared" si="0"/>
        <v>-0.18857709576079706</v>
      </c>
      <c r="N8" s="21">
        <f t="shared" si="1"/>
        <v>1.8952471935758499E-3</v>
      </c>
      <c r="O8" s="1">
        <f t="shared" si="2"/>
        <v>2.7619745164723767E-4</v>
      </c>
      <c r="P8" s="1">
        <f t="shared" si="3"/>
        <v>4.5289604355137332E-5</v>
      </c>
    </row>
    <row r="9" spans="1:16" ht="15" customHeight="1" x14ac:dyDescent="0.3">
      <c r="A9" s="1">
        <v>0.45268671475316569</v>
      </c>
      <c r="B9" s="1">
        <v>0.63767037600644727</v>
      </c>
      <c r="D9" s="1" t="s">
        <v>55</v>
      </c>
      <c r="F9" s="1">
        <f t="shared" si="4"/>
        <v>10.736479658181741</v>
      </c>
      <c r="H9" s="1">
        <v>0.56827440198390733</v>
      </c>
      <c r="K9" s="18"/>
      <c r="L9" s="1">
        <f t="shared" si="5"/>
        <v>10.729256223731703</v>
      </c>
      <c r="M9" s="21">
        <f t="shared" si="0"/>
        <v>7.2234344500383685E-3</v>
      </c>
      <c r="N9" s="21">
        <f t="shared" si="1"/>
        <v>-7.2597331156164512E-5</v>
      </c>
      <c r="O9" s="1">
        <f t="shared" si="2"/>
        <v>-3.2863847340931748E-5</v>
      </c>
      <c r="P9" s="1">
        <f t="shared" si="3"/>
        <v>-4.6293167455415987E-5</v>
      </c>
    </row>
    <row r="10" spans="1:16" x14ac:dyDescent="0.3">
      <c r="A10" s="1">
        <v>0.40105597947245797</v>
      </c>
      <c r="B10" s="1">
        <v>0.81541502178499103</v>
      </c>
      <c r="D10" s="1">
        <v>0.8</v>
      </c>
      <c r="F10" s="1">
        <f t="shared" si="4"/>
        <v>10.852860007164221</v>
      </c>
      <c r="K10" s="4"/>
      <c r="L10" s="1">
        <f t="shared" si="5"/>
        <v>10.813459787897717</v>
      </c>
      <c r="M10" s="21">
        <f t="shared" si="0"/>
        <v>3.9400219266504166E-2</v>
      </c>
      <c r="N10" s="21">
        <f t="shared" si="1"/>
        <v>-3.9598210318094639E-4</v>
      </c>
      <c r="O10" s="1">
        <f t="shared" si="2"/>
        <v>-1.5881099024479838E-4</v>
      </c>
      <c r="P10" s="1">
        <f t="shared" si="3"/>
        <v>-3.2288975529175793E-4</v>
      </c>
    </row>
    <row r="11" spans="1:16" x14ac:dyDescent="0.3">
      <c r="A11" s="1">
        <v>0.30941927249084455</v>
      </c>
      <c r="B11" s="1">
        <v>0.68540751793781318</v>
      </c>
      <c r="F11" s="1">
        <f t="shared" si="4"/>
        <v>10.703035650595673</v>
      </c>
      <c r="H11" s="49" t="s">
        <v>12</v>
      </c>
      <c r="I11" s="60"/>
      <c r="J11" s="50"/>
      <c r="K11" s="23"/>
      <c r="L11" s="1">
        <f t="shared" si="5"/>
        <v>10.709755007304587</v>
      </c>
      <c r="M11" s="21">
        <f t="shared" si="0"/>
        <v>-6.7193567089134376E-3</v>
      </c>
      <c r="N11" s="21">
        <f t="shared" si="1"/>
        <v>6.753122320516018E-5</v>
      </c>
      <c r="O11" s="1">
        <f t="shared" si="2"/>
        <v>2.0895461954557502E-5</v>
      </c>
      <c r="P11" s="1">
        <f t="shared" si="3"/>
        <v>4.6286408080353292E-5</v>
      </c>
    </row>
    <row r="12" spans="1:16" ht="15" customHeight="1" x14ac:dyDescent="0.3">
      <c r="A12" s="1">
        <v>0.11091528421039243</v>
      </c>
      <c r="B12" s="1">
        <v>0.22019728584217579</v>
      </c>
      <c r="F12" s="1">
        <f t="shared" si="4"/>
        <v>10.231615470778937</v>
      </c>
      <c r="H12" s="1" t="s">
        <v>7</v>
      </c>
      <c r="I12" s="1" t="s">
        <v>54</v>
      </c>
      <c r="J12" s="1" t="s">
        <v>55</v>
      </c>
      <c r="K12" s="18"/>
      <c r="L12" s="1">
        <f t="shared" si="5"/>
        <v>10.38078118340907</v>
      </c>
      <c r="M12" s="21">
        <f t="shared" si="0"/>
        <v>-0.14916571263013267</v>
      </c>
      <c r="N12" s="21">
        <f t="shared" si="1"/>
        <v>1.4991528907551022E-3</v>
      </c>
      <c r="O12" s="1">
        <f t="shared" si="2"/>
        <v>1.6627896895293355E-4</v>
      </c>
      <c r="P12" s="1">
        <f t="shared" si="3"/>
        <v>3.3010939760672536E-4</v>
      </c>
    </row>
    <row r="13" spans="1:16" x14ac:dyDescent="0.3">
      <c r="A13" s="1">
        <v>0.77651024702688243</v>
      </c>
      <c r="B13" s="1">
        <v>0.93097434758651576</v>
      </c>
      <c r="F13" s="1">
        <f t="shared" si="4"/>
        <v>11.133034601582652</v>
      </c>
      <c r="H13" s="20">
        <f>+SUM(N3:N201)</f>
        <v>2.5618482600848043E-2</v>
      </c>
      <c r="I13" s="20">
        <f>+SUM(O3:O201)</f>
        <v>-1.9212243475093291E-2</v>
      </c>
      <c r="J13" s="20">
        <f>+SUM(P3:P201)</f>
        <v>-2.7740107410308589E-2</v>
      </c>
      <c r="K13" s="18"/>
      <c r="L13" s="1">
        <f t="shared" si="5"/>
        <v>11.001327660340946</v>
      </c>
      <c r="M13" s="21">
        <f t="shared" si="0"/>
        <v>0.13170694124170623</v>
      </c>
      <c r="N13" s="21">
        <f t="shared" si="1"/>
        <v>-1.3236878516754396E-3</v>
      </c>
      <c r="O13" s="1">
        <f t="shared" si="2"/>
        <v>-1.027857180690979E-3</v>
      </c>
      <c r="P13" s="1">
        <f t="shared" si="3"/>
        <v>-1.2323194341217389E-3</v>
      </c>
    </row>
    <row r="14" spans="1:16" ht="16.5" customHeight="1" x14ac:dyDescent="0.3">
      <c r="A14" s="1">
        <v>0.53033693706006657</v>
      </c>
      <c r="B14" s="1">
        <v>0.72352260899254839</v>
      </c>
      <c r="F14" s="1">
        <f t="shared" si="4"/>
        <v>10.843986555724072</v>
      </c>
      <c r="H14" s="49" t="s">
        <v>13</v>
      </c>
      <c r="I14" s="50"/>
      <c r="J14" s="19"/>
      <c r="L14" s="1">
        <f t="shared" si="5"/>
        <v>10.803316536661715</v>
      </c>
      <c r="M14" s="21">
        <f t="shared" si="0"/>
        <v>4.0670019062357454E-2</v>
      </c>
      <c r="N14" s="21">
        <f t="shared" si="1"/>
        <v>-4.0874391017444676E-4</v>
      </c>
      <c r="O14" s="1">
        <f t="shared" si="2"/>
        <v>-2.1677199336387107E-4</v>
      </c>
      <c r="P14" s="1">
        <f t="shared" si="3"/>
        <v>-2.9573546029923161E-4</v>
      </c>
    </row>
    <row r="15" spans="1:16" x14ac:dyDescent="0.3">
      <c r="A15" s="1">
        <v>0.91379704475025125</v>
      </c>
      <c r="B15" s="1">
        <v>0.93993683812135687</v>
      </c>
      <c r="F15" s="1">
        <f t="shared" si="4"/>
        <v>11.208847992872212</v>
      </c>
      <c r="H15" s="16">
        <v>0.01</v>
      </c>
      <c r="I15" s="17"/>
      <c r="J15" s="19"/>
      <c r="L15" s="1">
        <f t="shared" si="5"/>
        <v>11.051103316233899</v>
      </c>
      <c r="M15" s="21">
        <f t="shared" si="0"/>
        <v>0.1577446766383126</v>
      </c>
      <c r="N15" s="21">
        <f t="shared" si="1"/>
        <v>-1.5853736345559056E-3</v>
      </c>
      <c r="O15" s="1">
        <f t="shared" si="2"/>
        <v>-1.4487097420821512E-3</v>
      </c>
      <c r="P15" s="1">
        <f t="shared" si="3"/>
        <v>-1.4901510813054412E-3</v>
      </c>
    </row>
    <row r="16" spans="1:16" x14ac:dyDescent="0.3">
      <c r="A16" s="1">
        <v>0.54341656437137797</v>
      </c>
      <c r="B16" s="1">
        <v>0.97338992708232741</v>
      </c>
      <c r="F16" s="1">
        <f t="shared" si="4"/>
        <v>11.05042022385155</v>
      </c>
      <c r="K16" s="18"/>
      <c r="L16" s="1">
        <f t="shared" si="5"/>
        <v>10.949566741611768</v>
      </c>
      <c r="M16" s="21">
        <f t="shared" si="0"/>
        <v>0.1008534822397813</v>
      </c>
      <c r="N16" s="21">
        <f t="shared" si="1"/>
        <v>-1.0136028365807165E-3</v>
      </c>
      <c r="O16" s="1">
        <f t="shared" si="2"/>
        <v>-5.5080857109177637E-4</v>
      </c>
      <c r="P16" s="1">
        <f t="shared" si="3"/>
        <v>-9.8663079118974399E-4</v>
      </c>
    </row>
    <row r="17" spans="1:16" x14ac:dyDescent="0.3">
      <c r="A17" s="1">
        <v>0.23119192497067409</v>
      </c>
      <c r="B17" s="1">
        <v>0.61625127212268016</v>
      </c>
      <c r="F17" s="1">
        <f t="shared" si="4"/>
        <v>10.608596980183481</v>
      </c>
      <c r="K17" s="4"/>
      <c r="L17" s="1">
        <f t="shared" si="5"/>
        <v>10.644994760532272</v>
      </c>
      <c r="M17" s="21">
        <f t="shared" si="0"/>
        <v>-3.6397780348790931E-2</v>
      </c>
      <c r="N17" s="21">
        <f t="shared" si="1"/>
        <v>3.6580683767629079E-4</v>
      </c>
      <c r="O17" s="1">
        <f t="shared" si="2"/>
        <v>8.457158696981657E-5</v>
      </c>
      <c r="P17" s="1">
        <f t="shared" si="3"/>
        <v>2.2542892906918897E-4</v>
      </c>
    </row>
    <row r="18" spans="1:16" x14ac:dyDescent="0.3">
      <c r="A18" s="1">
        <v>0.17604970238222195</v>
      </c>
      <c r="B18" s="1">
        <v>0.92168270046854905</v>
      </c>
      <c r="F18" s="1">
        <f t="shared" si="4"/>
        <v>10.82537101156595</v>
      </c>
      <c r="H18" s="49" t="s">
        <v>14</v>
      </c>
      <c r="I18" s="60"/>
      <c r="J18" s="50"/>
      <c r="K18" s="4"/>
      <c r="L18" s="1">
        <f>+$H$4+$H$6*A18+$H$9*B18</f>
        <v>10.800616576865808</v>
      </c>
      <c r="M18" s="21">
        <f t="shared" si="0"/>
        <v>2.4754434700142269E-2</v>
      </c>
      <c r="N18" s="21">
        <f t="shared" si="1"/>
        <v>-2.4878828844364088E-4</v>
      </c>
      <c r="O18" s="1">
        <f t="shared" si="2"/>
        <v>-4.3799104136685364E-5</v>
      </c>
      <c r="P18" s="1">
        <f t="shared" si="3"/>
        <v>-2.2930386153768327E-4</v>
      </c>
    </row>
    <row r="19" spans="1:16" x14ac:dyDescent="0.3">
      <c r="A19" s="1">
        <v>0.27163244514107876</v>
      </c>
      <c r="B19" s="1">
        <v>0.25576149740429099</v>
      </c>
      <c r="F19" s="1">
        <f t="shared" si="4"/>
        <v>10.340425420493972</v>
      </c>
      <c r="H19" s="1" t="s">
        <v>7</v>
      </c>
      <c r="I19" s="1" t="s">
        <v>54</v>
      </c>
      <c r="J19" s="1" t="s">
        <v>55</v>
      </c>
      <c r="K19" s="4"/>
      <c r="L19" s="1">
        <f t="shared" si="5"/>
        <v>10.453299757109866</v>
      </c>
      <c r="M19" s="21">
        <f t="shared" si="0"/>
        <v>-0.11287433661589397</v>
      </c>
      <c r="N19" s="21">
        <f t="shared" si="1"/>
        <v>1.1344154433758189E-3</v>
      </c>
      <c r="O19" s="1">
        <f t="shared" si="2"/>
        <v>3.0814404068997466E-4</v>
      </c>
      <c r="P19" s="1">
        <f t="shared" si="3"/>
        <v>2.9013979247635209E-4</v>
      </c>
    </row>
    <row r="20" spans="1:16" x14ac:dyDescent="0.3">
      <c r="A20" s="1">
        <v>0.66887921919648807</v>
      </c>
      <c r="B20" s="1">
        <v>0.92076790784366047</v>
      </c>
      <c r="F20" s="1">
        <f t="shared" si="4"/>
        <v>11.071053935873172</v>
      </c>
      <c r="H20" s="1">
        <f>+H4-$H$15*H$13</f>
        <v>10.21929310762534</v>
      </c>
      <c r="I20" s="1">
        <f>+H6-$H$15*I$13</f>
        <v>0.32566043173287984</v>
      </c>
      <c r="J20" s="1">
        <f>+H9-$H$15*J$13</f>
        <v>0.56855180305801045</v>
      </c>
      <c r="K20" s="4"/>
      <c r="L20" s="1">
        <f t="shared" si="5"/>
        <v>10.960497113243711</v>
      </c>
      <c r="M20" s="21">
        <f t="shared" si="0"/>
        <v>0.11055682262946043</v>
      </c>
      <c r="N20" s="21">
        <f t="shared" si="1"/>
        <v>-1.1111238455222153E-3</v>
      </c>
      <c r="O20" s="1">
        <f t="shared" si="2"/>
        <v>-7.4320765022349859E-4</v>
      </c>
      <c r="P20" s="1">
        <f t="shared" si="3"/>
        <v>-1.0230871785966928E-3</v>
      </c>
    </row>
    <row r="21" spans="1:16" x14ac:dyDescent="0.3">
      <c r="A21" s="1">
        <v>0.93636561169029831</v>
      </c>
      <c r="B21" s="1">
        <v>0.44682087032384876</v>
      </c>
      <c r="F21" s="1">
        <f t="shared" si="4"/>
        <v>10.825639502104229</v>
      </c>
      <c r="H21" s="1"/>
      <c r="I21" s="1"/>
      <c r="J21" s="1"/>
      <c r="L21" s="1">
        <f t="shared" si="5"/>
        <v>10.778223487850312</v>
      </c>
      <c r="M21" s="21">
        <f t="shared" si="0"/>
        <v>4.7416014253917282E-2</v>
      </c>
      <c r="N21" s="21">
        <f t="shared" si="1"/>
        <v>-4.7654285682328929E-4</v>
      </c>
      <c r="O21" s="1">
        <f t="shared" si="2"/>
        <v>-4.4621834362598147E-4</v>
      </c>
      <c r="P21" s="1">
        <f t="shared" si="3"/>
        <v>-2.1292929403239538E-4</v>
      </c>
    </row>
    <row r="22" spans="1:16" x14ac:dyDescent="0.3">
      <c r="A22" s="1">
        <v>0.80870464395145525</v>
      </c>
      <c r="B22" s="1">
        <v>0.17507090129440039</v>
      </c>
      <c r="F22" s="1">
        <f t="shared" si="4"/>
        <v>10.544409043011248</v>
      </c>
      <c r="H22" s="1"/>
      <c r="I22" s="1"/>
      <c r="J22" s="1"/>
      <c r="L22" s="1">
        <f t="shared" si="5"/>
        <v>10.582245337377634</v>
      </c>
      <c r="M22" s="21">
        <f t="shared" si="0"/>
        <v>-3.7836294366385914E-2</v>
      </c>
      <c r="N22" s="21">
        <f t="shared" si="1"/>
        <v>3.8026426498880315E-4</v>
      </c>
      <c r="O22" s="1">
        <f t="shared" si="2"/>
        <v>3.0752147702523192E-4</v>
      </c>
      <c r="P22" s="1">
        <f t="shared" si="3"/>
        <v>6.6573207601642475E-5</v>
      </c>
    </row>
    <row r="23" spans="1:16" x14ac:dyDescent="0.3">
      <c r="A23" s="1">
        <v>0.7378488628518779</v>
      </c>
      <c r="B23" s="1">
        <v>2.9501539147600453E-2</v>
      </c>
      <c r="F23" s="1">
        <f t="shared" si="4"/>
        <v>10.392525662744019</v>
      </c>
      <c r="I23" t="s">
        <v>8</v>
      </c>
      <c r="L23" s="1">
        <f t="shared" si="5"/>
        <v>10.476460683878004</v>
      </c>
      <c r="M23" s="21">
        <f t="shared" si="0"/>
        <v>-8.3935021133985543E-2</v>
      </c>
      <c r="N23" s="21">
        <f t="shared" si="1"/>
        <v>8.4356805159784465E-4</v>
      </c>
      <c r="O23" s="1">
        <f t="shared" si="2"/>
        <v>6.2242572760964399E-4</v>
      </c>
      <c r="P23" s="1">
        <f t="shared" si="3"/>
        <v>2.4886555897878855E-5</v>
      </c>
    </row>
    <row r="24" spans="1:16" x14ac:dyDescent="0.3">
      <c r="A24" s="1">
        <v>0.90850122484382478</v>
      </c>
      <c r="B24" s="1">
        <v>7.9337692064085918E-2</v>
      </c>
      <c r="F24" s="1">
        <f t="shared" si="4"/>
        <v>10.517720766073181</v>
      </c>
      <c r="L24" s="1">
        <f t="shared" si="5"/>
        <v>10.56032322960905</v>
      </c>
      <c r="M24" s="21">
        <f t="shared" si="0"/>
        <v>-4.2602463535869717E-2</v>
      </c>
      <c r="N24" s="21">
        <f t="shared" si="1"/>
        <v>4.2816546267205745E-4</v>
      </c>
      <c r="O24" s="1">
        <f t="shared" si="2"/>
        <v>3.8898884727338713E-4</v>
      </c>
      <c r="P24" s="1">
        <f t="shared" si="3"/>
        <v>3.3969659629952568E-5</v>
      </c>
    </row>
    <row r="25" spans="1:16" x14ac:dyDescent="0.3">
      <c r="A25" s="1">
        <v>0.32190165521243919</v>
      </c>
      <c r="B25" s="1">
        <v>0.77959218702776034</v>
      </c>
      <c r="F25" s="1">
        <f t="shared" si="4"/>
        <v>10.784624577228428</v>
      </c>
      <c r="L25" s="1">
        <f t="shared" si="5"/>
        <v>10.767340363808138</v>
      </c>
      <c r="M25" s="21">
        <f t="shared" si="0"/>
        <v>1.7284213420289518E-2</v>
      </c>
      <c r="N25" s="21">
        <f t="shared" si="1"/>
        <v>-1.7371068764110068E-4</v>
      </c>
      <c r="O25" s="1">
        <f t="shared" si="2"/>
        <v>-5.5917757879761315E-5</v>
      </c>
      <c r="P25" s="1">
        <f t="shared" si="3"/>
        <v>-1.3542349488822181E-4</v>
      </c>
    </row>
    <row r="26" spans="1:16" x14ac:dyDescent="0.3">
      <c r="A26" s="1">
        <v>0.47406540707324196</v>
      </c>
      <c r="B26" s="1">
        <v>0.1700264498474986</v>
      </c>
      <c r="F26" s="1">
        <f t="shared" si="4"/>
        <v>10.373053863414619</v>
      </c>
      <c r="L26" s="1">
        <f t="shared" si="5"/>
        <v>10.47046423809674</v>
      </c>
      <c r="M26" s="21">
        <f t="shared" si="0"/>
        <v>-9.741037468212177E-2</v>
      </c>
      <c r="N26" s="21">
        <f t="shared" si="1"/>
        <v>9.7899874052383693E-4</v>
      </c>
      <c r="O26" s="1">
        <f t="shared" si="2"/>
        <v>4.6410943645062394E-4</v>
      </c>
      <c r="P26" s="1">
        <f t="shared" si="3"/>
        <v>1.6645568025644043E-4</v>
      </c>
    </row>
    <row r="27" spans="1:16" x14ac:dyDescent="0.3">
      <c r="A27" s="1">
        <v>0.96286276960841222</v>
      </c>
      <c r="B27" s="1">
        <v>0.88528358772256011</v>
      </c>
      <c r="F27" s="1">
        <f t="shared" si="4"/>
        <v>11.189658254982255</v>
      </c>
      <c r="L27" s="1">
        <f t="shared" si="5"/>
        <v>11.036014611561118</v>
      </c>
      <c r="M27" s="21">
        <f t="shared" si="0"/>
        <v>0.15364364342113745</v>
      </c>
      <c r="N27" s="21">
        <f t="shared" si="1"/>
        <v>-1.5441572203129393E-3</v>
      </c>
      <c r="O27" s="1">
        <f t="shared" si="2"/>
        <v>-1.4868114978613439E-3</v>
      </c>
      <c r="P27" s="1">
        <f t="shared" si="3"/>
        <v>-1.3670170440063345E-3</v>
      </c>
    </row>
    <row r="28" spans="1:16" x14ac:dyDescent="0.3">
      <c r="A28" s="1">
        <v>0.45086328318786839</v>
      </c>
      <c r="B28" s="1">
        <v>0.55258614959506058</v>
      </c>
      <c r="F28" s="1">
        <f t="shared" si="4"/>
        <v>10.667500561269982</v>
      </c>
      <c r="L28" s="1">
        <f t="shared" si="5"/>
        <v>10.680311566660832</v>
      </c>
      <c r="M28" s="21">
        <f t="shared" si="0"/>
        <v>-1.2811005390849672E-2</v>
      </c>
      <c r="N28" s="21">
        <f t="shared" si="1"/>
        <v>1.2875382302361479E-4</v>
      </c>
      <c r="O28" s="1">
        <f t="shared" si="2"/>
        <v>5.8050371371416727E-5</v>
      </c>
      <c r="P28" s="1">
        <f t="shared" si="3"/>
        <v>7.114757931026316E-5</v>
      </c>
    </row>
    <row r="29" spans="1:16" x14ac:dyDescent="0.3">
      <c r="A29" s="1">
        <v>0.37008300673023786</v>
      </c>
      <c r="B29" s="1">
        <v>0.66663044094221957</v>
      </c>
      <c r="F29" s="1">
        <f t="shared" si="4"/>
        <v>10.718345856118894</v>
      </c>
      <c r="L29" s="1">
        <f t="shared" si="5"/>
        <v>10.718828598122517</v>
      </c>
      <c r="M29" s="21">
        <f t="shared" si="0"/>
        <v>-4.8274200362286024E-4</v>
      </c>
      <c r="N29" s="21">
        <f t="shared" si="1"/>
        <v>4.8516784283704547E-6</v>
      </c>
      <c r="O29" s="1">
        <f t="shared" si="2"/>
        <v>1.7955237404595729E-6</v>
      </c>
      <c r="P29" s="1">
        <f t="shared" si="3"/>
        <v>3.2342765300144511E-6</v>
      </c>
    </row>
    <row r="30" spans="1:16" x14ac:dyDescent="0.3">
      <c r="A30" s="1">
        <v>8.0588167892940987E-3</v>
      </c>
      <c r="B30" s="1">
        <v>0.79642069091070322</v>
      </c>
      <c r="F30" s="1">
        <f t="shared" si="4"/>
        <v>10.64116596112321</v>
      </c>
      <c r="L30" s="1">
        <f t="shared" si="5"/>
        <v>10.674757673781594</v>
      </c>
      <c r="M30" s="21">
        <f t="shared" si="0"/>
        <v>-3.3591712658383344E-2</v>
      </c>
      <c r="N30" s="21">
        <f t="shared" si="1"/>
        <v>3.3760515234556123E-4</v>
      </c>
      <c r="O30" s="1">
        <f t="shared" si="2"/>
        <v>2.7206980698746011E-6</v>
      </c>
      <c r="P30" s="1">
        <f t="shared" si="3"/>
        <v>2.6887572868606512E-4</v>
      </c>
    </row>
    <row r="31" spans="1:16" x14ac:dyDescent="0.3">
      <c r="A31" s="1">
        <v>0.67756450502392918</v>
      </c>
      <c r="B31" s="1">
        <v>0.78138919747705127</v>
      </c>
      <c r="F31" s="1">
        <f t="shared" si="4"/>
        <v>10.963893610493606</v>
      </c>
      <c r="L31" s="1">
        <f t="shared" si="5"/>
        <v>10.884118545254868</v>
      </c>
      <c r="M31" s="21">
        <f t="shared" si="0"/>
        <v>7.9775065238738563E-2</v>
      </c>
      <c r="N31" s="21">
        <f t="shared" si="1"/>
        <v>-8.0175944963556346E-4</v>
      </c>
      <c r="O31" s="1">
        <f t="shared" si="2"/>
        <v>-5.4324374464057837E-4</v>
      </c>
      <c r="P31" s="1">
        <f t="shared" si="3"/>
        <v>-6.2648617292037517E-4</v>
      </c>
    </row>
    <row r="32" spans="1:16" x14ac:dyDescent="0.3">
      <c r="A32" s="1">
        <v>0.52836389049360399</v>
      </c>
      <c r="B32" s="1">
        <v>0.16350951022984195</v>
      </c>
      <c r="F32" s="1">
        <f t="shared" si="4"/>
        <v>10.394989553430676</v>
      </c>
      <c r="L32" s="1">
        <f t="shared" si="5"/>
        <v>10.484433263729031</v>
      </c>
      <c r="M32" s="21">
        <f t="shared" si="0"/>
        <v>-8.9443710298354517E-2</v>
      </c>
      <c r="N32" s="21">
        <f t="shared" si="1"/>
        <v>8.9893176179250771E-4</v>
      </c>
      <c r="O32" s="1">
        <f t="shared" si="2"/>
        <v>4.7496308294895907E-4</v>
      </c>
      <c r="P32" s="1">
        <f t="shared" si="3"/>
        <v>1.4698389210074188E-4</v>
      </c>
    </row>
    <row r="33" spans="1:16" x14ac:dyDescent="0.3">
      <c r="A33" s="1">
        <v>0.1461707552425201</v>
      </c>
      <c r="B33" s="1">
        <v>0.38470118618917659</v>
      </c>
      <c r="F33" s="1">
        <f t="shared" si="4"/>
        <v>10.3808463265726</v>
      </c>
      <c r="L33" s="1">
        <f t="shared" si="5"/>
        <v>10.485739077553117</v>
      </c>
      <c r="M33" s="21">
        <f t="shared" si="0"/>
        <v>-0.10489275098051642</v>
      </c>
      <c r="N33" s="21">
        <f t="shared" si="1"/>
        <v>1.054198502316748E-3</v>
      </c>
      <c r="O33" s="1">
        <f t="shared" si="2"/>
        <v>1.5409299125917263E-4</v>
      </c>
      <c r="P33" s="1">
        <f t="shared" si="3"/>
        <v>4.0555141432010636E-4</v>
      </c>
    </row>
    <row r="34" spans="1:16" x14ac:dyDescent="0.3">
      <c r="A34" s="1">
        <v>0.40723591522804092</v>
      </c>
      <c r="B34" s="1">
        <v>0.80682675516236713</v>
      </c>
      <c r="F34" s="1">
        <f t="shared" si="4"/>
        <v>10.849079361743915</v>
      </c>
      <c r="L34" s="1">
        <f t="shared" si="5"/>
        <v>10.810590669060606</v>
      </c>
      <c r="M34" s="21">
        <f t="shared" si="0"/>
        <v>3.8488692683309011E-2</v>
      </c>
      <c r="N34" s="21">
        <f t="shared" si="1"/>
        <v>-3.8682103199305542E-4</v>
      </c>
      <c r="O34" s="1">
        <f t="shared" si="2"/>
        <v>-1.5752741699314723E-4</v>
      </c>
      <c r="P34" s="1">
        <f t="shared" si="3"/>
        <v>-3.1209755807151506E-4</v>
      </c>
    </row>
    <row r="35" spans="1:16" x14ac:dyDescent="0.3">
      <c r="A35" s="1">
        <v>0.95360091034284711</v>
      </c>
      <c r="B35" s="1">
        <v>0.60794797019374103</v>
      </c>
      <c r="F35" s="1">
        <f t="shared" si="4"/>
        <v>10.963158831326416</v>
      </c>
      <c r="L35" s="1">
        <f t="shared" si="5"/>
        <v>10.87539743768497</v>
      </c>
      <c r="M35" s="21">
        <f t="shared" si="0"/>
        <v>8.7761393641445196E-2</v>
      </c>
      <c r="N35" s="21">
        <f t="shared" si="1"/>
        <v>-8.8202405669794172E-4</v>
      </c>
      <c r="O35" s="1">
        <f t="shared" si="2"/>
        <v>-8.4109894341144811E-4</v>
      </c>
      <c r="P35" s="1">
        <f t="shared" si="3"/>
        <v>-5.3622473493156273E-4</v>
      </c>
    </row>
    <row r="36" spans="1:16" x14ac:dyDescent="0.3">
      <c r="A36" s="1">
        <v>0.92420091754071898</v>
      </c>
      <c r="B36" s="1">
        <v>0.50235058339566308</v>
      </c>
      <c r="F36" s="1">
        <f t="shared" si="4"/>
        <v>10.86398092548689</v>
      </c>
      <c r="L36" s="1">
        <f t="shared" si="5"/>
        <v>10.805820379900544</v>
      </c>
      <c r="M36" s="21">
        <f t="shared" si="0"/>
        <v>5.8160545586346757E-2</v>
      </c>
      <c r="N36" s="21">
        <f t="shared" si="1"/>
        <v>-5.845280963451935E-4</v>
      </c>
      <c r="O36" s="1">
        <f t="shared" si="2"/>
        <v>-5.4022140297055766E-4</v>
      </c>
      <c r="P36" s="1">
        <f t="shared" si="3"/>
        <v>-2.9363803021016432E-4</v>
      </c>
    </row>
    <row r="37" spans="1:16" x14ac:dyDescent="0.3">
      <c r="A37" s="1">
        <v>0.4430614715944754</v>
      </c>
      <c r="B37" s="1">
        <v>0.42273402472100685</v>
      </c>
      <c r="F37" s="1">
        <f t="shared" si="4"/>
        <v>10.559717955574044</v>
      </c>
      <c r="L37" s="1">
        <f t="shared" si="5"/>
        <v>10.603980685622926</v>
      </c>
      <c r="M37" s="21">
        <f t="shared" si="0"/>
        <v>-4.4262730048881593E-2</v>
      </c>
      <c r="N37" s="21">
        <f t="shared" si="1"/>
        <v>4.4485155828021705E-4</v>
      </c>
      <c r="O37" s="1">
        <f t="shared" si="2"/>
        <v>1.9709658605272847E-4</v>
      </c>
      <c r="P37" s="1">
        <f t="shared" si="3"/>
        <v>1.8805388963520766E-4</v>
      </c>
    </row>
    <row r="38" spans="1:16" x14ac:dyDescent="0.3">
      <c r="A38" s="1">
        <v>0.39278958888685744</v>
      </c>
      <c r="B38" s="1">
        <v>0.75526837666784929</v>
      </c>
      <c r="F38" s="1">
        <f t="shared" si="4"/>
        <v>10.800609495777708</v>
      </c>
      <c r="L38" s="1">
        <f t="shared" si="5"/>
        <v>10.77658954094454</v>
      </c>
      <c r="M38" s="21">
        <f t="shared" si="0"/>
        <v>2.40199548331681E-2</v>
      </c>
      <c r="N38" s="21">
        <f t="shared" si="1"/>
        <v>-2.4140658123787036E-4</v>
      </c>
      <c r="O38" s="1">
        <f t="shared" si="2"/>
        <v>-9.4821991799004854E-5</v>
      </c>
      <c r="P38" s="1">
        <f t="shared" si="3"/>
        <v>-1.8232675672846162E-4</v>
      </c>
    </row>
    <row r="39" spans="1:16" x14ac:dyDescent="0.3">
      <c r="A39" s="1">
        <v>0.60148345153161564</v>
      </c>
      <c r="B39" s="1">
        <v>0.99961994779217689</v>
      </c>
      <c r="F39" s="1">
        <f t="shared" si="4"/>
        <v>11.100437683999548</v>
      </c>
      <c r="L39" s="1">
        <f t="shared" si="5"/>
        <v>10.983371522534931</v>
      </c>
      <c r="M39" s="21">
        <f t="shared" si="0"/>
        <v>0.11706616146461712</v>
      </c>
      <c r="N39" s="21">
        <f t="shared" si="1"/>
        <v>-1.1765443363278103E-3</v>
      </c>
      <c r="O39" s="1">
        <f t="shared" si="2"/>
        <v>-7.076719482944254E-4</v>
      </c>
      <c r="P39" s="1">
        <f t="shared" si="3"/>
        <v>-1.1760971880551872E-3</v>
      </c>
    </row>
    <row r="40" spans="1:16" x14ac:dyDescent="0.3">
      <c r="A40" s="1">
        <v>0.28326701083001093</v>
      </c>
      <c r="B40" s="1">
        <v>0.50316390594206495</v>
      </c>
      <c r="F40" s="1">
        <f t="shared" si="4"/>
        <v>10.544164630168657</v>
      </c>
      <c r="L40" s="1">
        <f t="shared" si="5"/>
        <v>10.597678895295243</v>
      </c>
      <c r="M40" s="21">
        <f t="shared" si="0"/>
        <v>-5.3514265126585414E-2</v>
      </c>
      <c r="N40" s="21">
        <f t="shared" si="1"/>
        <v>5.3783181031744141E-4</v>
      </c>
      <c r="O40" s="1">
        <f t="shared" si="2"/>
        <v>1.5235000923791503E-4</v>
      </c>
      <c r="P40" s="1">
        <f t="shared" si="3"/>
        <v>2.7061755441921558E-4</v>
      </c>
    </row>
    <row r="41" spans="1:16" x14ac:dyDescent="0.3">
      <c r="A41" s="1">
        <v>0.99121856967258881</v>
      </c>
      <c r="B41" s="1">
        <v>0.48869656682707974</v>
      </c>
      <c r="F41" s="1">
        <f t="shared" si="4"/>
        <v>10.886566538297959</v>
      </c>
      <c r="L41" s="1">
        <f t="shared" si="5"/>
        <v>10.819873273732844</v>
      </c>
      <c r="M41" s="21">
        <f t="shared" si="0"/>
        <v>6.6693264565115484E-2</v>
      </c>
      <c r="N41" s="21">
        <f t="shared" si="1"/>
        <v>-6.7028406598106018E-4</v>
      </c>
      <c r="O41" s="1">
        <f t="shared" si="2"/>
        <v>-6.6439801315607352E-4</v>
      </c>
      <c r="P41" s="1">
        <f t="shared" si="3"/>
        <v>-3.2756552184383994E-4</v>
      </c>
    </row>
    <row r="42" spans="1:16" x14ac:dyDescent="0.3">
      <c r="A42" s="1">
        <v>0.21659355515586121</v>
      </c>
      <c r="B42" s="1">
        <v>0.90352972120849173</v>
      </c>
      <c r="F42" s="1">
        <f t="shared" si="4"/>
        <v>10.831120554544723</v>
      </c>
      <c r="L42" s="1">
        <f t="shared" si="5"/>
        <v>10.803496442647241</v>
      </c>
      <c r="M42" s="21">
        <f t="shared" si="0"/>
        <v>2.7624111897482706E-2</v>
      </c>
      <c r="N42" s="21">
        <f t="shared" si="1"/>
        <v>-2.7762926530133374E-4</v>
      </c>
      <c r="O42" s="1">
        <f t="shared" si="2"/>
        <v>-6.0132709586925655E-5</v>
      </c>
      <c r="P42" s="1">
        <f t="shared" si="3"/>
        <v>-2.5084629267703245E-4</v>
      </c>
    </row>
    <row r="43" spans="1:16" x14ac:dyDescent="0.3">
      <c r="A43" s="1">
        <v>0.79712572015964245</v>
      </c>
      <c r="B43" s="1">
        <v>0.10305319756893683</v>
      </c>
      <c r="F43" s="1">
        <f t="shared" si="4"/>
        <v>10.48100541813497</v>
      </c>
      <c r="L43" s="1">
        <f t="shared" si="5"/>
        <v>10.537550947110777</v>
      </c>
      <c r="M43" s="21">
        <f t="shared" si="0"/>
        <v>-5.6545528975807002E-2</v>
      </c>
      <c r="N43" s="21">
        <f t="shared" si="1"/>
        <v>5.68296773626201E-4</v>
      </c>
      <c r="O43" s="1">
        <f t="shared" si="2"/>
        <v>4.5300397494118681E-4</v>
      </c>
      <c r="P43" s="1">
        <f t="shared" si="3"/>
        <v>5.8564799690290262E-5</v>
      </c>
    </row>
    <row r="44" spans="1:16" x14ac:dyDescent="0.3">
      <c r="A44" s="1">
        <v>0.45733048270864385</v>
      </c>
      <c r="B44" s="1">
        <v>0.40430164174209215</v>
      </c>
      <c r="F44" s="1">
        <f t="shared" si="4"/>
        <v>10.552106554747997</v>
      </c>
      <c r="L44" s="1">
        <f t="shared" si="5"/>
        <v>10.598150145131127</v>
      </c>
      <c r="M44" s="21">
        <f t="shared" si="0"/>
        <v>-4.6043590383129995E-2</v>
      </c>
      <c r="N44" s="21">
        <f t="shared" si="1"/>
        <v>4.6274965209175878E-4</v>
      </c>
      <c r="O44" s="1">
        <f t="shared" si="2"/>
        <v>2.1162952176438104E-4</v>
      </c>
      <c r="P44" s="1">
        <f t="shared" si="3"/>
        <v>1.8709044405628003E-4</v>
      </c>
    </row>
    <row r="45" spans="1:16" x14ac:dyDescent="0.3">
      <c r="A45" s="1">
        <v>0.44783210989054367</v>
      </c>
      <c r="B45" s="1">
        <v>0.51727856571379838</v>
      </c>
      <c r="F45" s="1">
        <f t="shared" si="4"/>
        <v>10.637738907516312</v>
      </c>
      <c r="L45" s="1">
        <f t="shared" si="5"/>
        <v>10.659260619696939</v>
      </c>
      <c r="M45" s="21">
        <f t="shared" si="0"/>
        <v>-2.1521712180627262E-2</v>
      </c>
      <c r="N45" s="21">
        <f t="shared" si="1"/>
        <v>2.1629861488067599E-4</v>
      </c>
      <c r="O45" s="1">
        <f t="shared" si="2"/>
        <v>9.6865465068415272E-5</v>
      </c>
      <c r="P45" s="1">
        <f t="shared" si="3"/>
        <v>1.1188663727135733E-4</v>
      </c>
    </row>
    <row r="46" spans="1:16" x14ac:dyDescent="0.3">
      <c r="A46" s="1">
        <v>0.77670498180197334</v>
      </c>
      <c r="B46" s="1">
        <v>0.58721294542847702</v>
      </c>
      <c r="F46" s="1">
        <f t="shared" si="4"/>
        <v>10.858122847243768</v>
      </c>
      <c r="L46" s="1">
        <f t="shared" si="5"/>
        <v>10.806040235102449</v>
      </c>
      <c r="M46" s="21">
        <f t="shared" si="0"/>
        <v>5.2082612141319373E-2</v>
      </c>
      <c r="N46" s="21">
        <f t="shared" si="1"/>
        <v>-5.234433381037123E-4</v>
      </c>
      <c r="O46" s="1">
        <f t="shared" si="2"/>
        <v>-4.0656104839620805E-4</v>
      </c>
      <c r="P46" s="1">
        <f t="shared" si="3"/>
        <v>-3.0737270433279503E-4</v>
      </c>
    </row>
    <row r="47" spans="1:16" x14ac:dyDescent="0.3">
      <c r="A47" s="1">
        <v>0.5097279295733147</v>
      </c>
      <c r="B47" s="1">
        <v>0.62426805404966157</v>
      </c>
      <c r="F47" s="1">
        <f t="shared" si="4"/>
        <v>10.754278408026387</v>
      </c>
      <c r="L47" s="1">
        <f t="shared" si="5"/>
        <v>10.74020513498434</v>
      </c>
      <c r="M47" s="21">
        <f t="shared" si="0"/>
        <v>1.4073273042047418E-2</v>
      </c>
      <c r="N47" s="21">
        <f t="shared" si="1"/>
        <v>-1.4143993007082834E-4</v>
      </c>
      <c r="O47" s="1">
        <f t="shared" si="2"/>
        <v>-7.2095882713997742E-5</v>
      </c>
      <c r="P47" s="1">
        <f t="shared" si="3"/>
        <v>-8.8296429910236204E-5</v>
      </c>
    </row>
    <row r="48" spans="1:16" x14ac:dyDescent="0.3">
      <c r="A48" s="1">
        <v>0.92694061887703505</v>
      </c>
      <c r="B48" s="1">
        <v>0.18420958857549574</v>
      </c>
      <c r="F48" s="1">
        <f t="shared" si="4"/>
        <v>10.610837980298914</v>
      </c>
      <c r="L48" s="1">
        <f t="shared" si="5"/>
        <v>10.625920682284461</v>
      </c>
      <c r="M48" s="21">
        <f t="shared" si="0"/>
        <v>-1.508270198554662E-2</v>
      </c>
      <c r="N48" s="21">
        <f t="shared" si="1"/>
        <v>1.5158494457835799E-4</v>
      </c>
      <c r="O48" s="1">
        <f t="shared" si="2"/>
        <v>1.4051024233990422E-4</v>
      </c>
      <c r="P48" s="1">
        <f t="shared" si="3"/>
        <v>2.7923400275018653E-5</v>
      </c>
    </row>
    <row r="49" spans="1:16" x14ac:dyDescent="0.3">
      <c r="A49" s="1">
        <v>0.50525149183008455</v>
      </c>
      <c r="B49" s="1">
        <v>0.76018136426991978</v>
      </c>
      <c r="F49" s="1">
        <f t="shared" si="4"/>
        <v>10.860770837330978</v>
      </c>
      <c r="L49" s="1">
        <f t="shared" si="5"/>
        <v>10.815984251447444</v>
      </c>
      <c r="M49" s="21">
        <f t="shared" si="0"/>
        <v>4.4786585883533903E-2</v>
      </c>
      <c r="N49" s="21">
        <f t="shared" si="1"/>
        <v>-4.5011644104054173E-4</v>
      </c>
      <c r="O49" s="1">
        <f t="shared" si="2"/>
        <v>-2.2742200333298202E-4</v>
      </c>
      <c r="P49" s="1">
        <f t="shared" si="3"/>
        <v>-3.4217013023051993E-4</v>
      </c>
    </row>
    <row r="50" spans="1:16" x14ac:dyDescent="0.3">
      <c r="A50" s="1">
        <v>0.83112316221043181</v>
      </c>
      <c r="B50" s="1">
        <v>0.48914446087438335</v>
      </c>
      <c r="F50" s="1">
        <f t="shared" si="4"/>
        <v>10.806877149804723</v>
      </c>
      <c r="L50" s="1">
        <f t="shared" si="5"/>
        <v>10.768021818861625</v>
      </c>
      <c r="M50" s="21">
        <f t="shared" si="0"/>
        <v>3.8855330943098565E-2</v>
      </c>
      <c r="N50" s="21">
        <f t="shared" si="1"/>
        <v>-3.9050583862410617E-4</v>
      </c>
      <c r="O50" s="1">
        <f t="shared" si="2"/>
        <v>-3.2455844745890372E-4</v>
      </c>
      <c r="P50" s="1">
        <f t="shared" si="3"/>
        <v>-1.9101376790208737E-4</v>
      </c>
    </row>
    <row r="51" spans="1:16" x14ac:dyDescent="0.3">
      <c r="A51" s="1">
        <v>0.40360395696195717</v>
      </c>
      <c r="B51" s="1">
        <v>0.16785024209221255</v>
      </c>
      <c r="F51" s="1">
        <f t="shared" si="4"/>
        <v>10.33608217215475</v>
      </c>
      <c r="L51" s="1">
        <f t="shared" si="5"/>
        <v>10.446294585897599</v>
      </c>
      <c r="M51" s="21">
        <f t="shared" si="0"/>
        <v>-0.11021241374284863</v>
      </c>
      <c r="N51" s="21">
        <f t="shared" si="1"/>
        <v>1.1076624496768705E-3</v>
      </c>
      <c r="O51" s="1">
        <f t="shared" si="2"/>
        <v>4.4705694766775973E-4</v>
      </c>
      <c r="P51" s="1">
        <f t="shared" si="3"/>
        <v>1.8592141033471594E-4</v>
      </c>
    </row>
    <row r="52" spans="1:16" x14ac:dyDescent="0.3">
      <c r="A52" s="1">
        <v>0.59251662773534197</v>
      </c>
      <c r="B52" s="1">
        <v>0.58139945603213239</v>
      </c>
      <c r="F52" s="1">
        <f t="shared" si="4"/>
        <v>10.761377878693377</v>
      </c>
      <c r="L52" s="1">
        <f t="shared" si="5"/>
        <v>10.742789105701828</v>
      </c>
      <c r="M52" s="21">
        <f t="shared" si="0"/>
        <v>1.8588772991549263E-2</v>
      </c>
      <c r="N52" s="21">
        <f t="shared" si="1"/>
        <v>-1.8682183911104786E-4</v>
      </c>
      <c r="O52" s="1">
        <f t="shared" si="2"/>
        <v>-1.1069504609739269E-4</v>
      </c>
      <c r="P52" s="1">
        <f t="shared" si="3"/>
        <v>-1.0861811563408578E-4</v>
      </c>
    </row>
    <row r="53" spans="1:16" x14ac:dyDescent="0.3">
      <c r="A53" s="1">
        <v>0.62298990319197789</v>
      </c>
      <c r="B53" s="1">
        <v>0.84165861226465366</v>
      </c>
      <c r="F53" s="1">
        <f t="shared" si="4"/>
        <v>10.984821841407712</v>
      </c>
      <c r="L53" s="1">
        <f t="shared" si="5"/>
        <v>10.900605807512347</v>
      </c>
      <c r="M53" s="21">
        <f t="shared" si="0"/>
        <v>8.4216033895364362E-2</v>
      </c>
      <c r="N53" s="21">
        <f t="shared" si="1"/>
        <v>-8.4639230045592323E-4</v>
      </c>
      <c r="O53" s="1">
        <f t="shared" si="2"/>
        <v>-5.2729385732347108E-4</v>
      </c>
      <c r="P53" s="1">
        <f t="shared" si="3"/>
        <v>-7.1237336903322019E-4</v>
      </c>
    </row>
    <row r="54" spans="1:16" x14ac:dyDescent="0.3">
      <c r="A54" s="1">
        <v>0.13455206817414767</v>
      </c>
      <c r="B54" s="1">
        <v>0.33622782379396965</v>
      </c>
      <c r="F54" s="1">
        <f t="shared" si="4"/>
        <v>10.336258293122249</v>
      </c>
      <c r="L54" s="1">
        <f t="shared" si="5"/>
        <v>10.454411392089424</v>
      </c>
      <c r="M54" s="21">
        <f t="shared" si="0"/>
        <v>-0.1181530989671753</v>
      </c>
      <c r="N54" s="21">
        <f t="shared" si="1"/>
        <v>1.187468331328395E-3</v>
      </c>
      <c r="O54" s="1">
        <f t="shared" si="2"/>
        <v>1.5977631987153956E-4</v>
      </c>
      <c r="P54" s="1">
        <f t="shared" si="3"/>
        <v>3.9925989286680274E-4</v>
      </c>
    </row>
    <row r="55" spans="1:16" x14ac:dyDescent="0.3">
      <c r="A55" s="1">
        <v>0.16419210093893988</v>
      </c>
      <c r="B55" s="1">
        <v>0.12234253813552465</v>
      </c>
      <c r="F55" s="1">
        <f t="shared" si="4"/>
        <v>10.17997008097789</v>
      </c>
      <c r="L55" s="1">
        <f t="shared" si="5"/>
        <v>10.342512750640212</v>
      </c>
      <c r="M55" s="21">
        <f t="shared" si="0"/>
        <v>-0.16254266966232223</v>
      </c>
      <c r="N55" s="21">
        <f t="shared" si="1"/>
        <v>1.6335946699730878E-3</v>
      </c>
      <c r="O55" s="1">
        <f t="shared" si="2"/>
        <v>2.6822334094553542E-4</v>
      </c>
      <c r="P55" s="1">
        <f t="shared" si="3"/>
        <v>1.9985811820917226E-4</v>
      </c>
    </row>
    <row r="56" spans="1:16" x14ac:dyDescent="0.3">
      <c r="A56" s="1">
        <v>0.79906368876126177</v>
      </c>
      <c r="B56" s="1">
        <v>0.32031380197285719</v>
      </c>
      <c r="F56" s="1">
        <f t="shared" si="4"/>
        <v>10.655782885958917</v>
      </c>
      <c r="L56" s="1">
        <f t="shared" si="5"/>
        <v>10.661645334517321</v>
      </c>
      <c r="M56" s="21">
        <f t="shared" si="0"/>
        <v>-5.8624485584033437E-3</v>
      </c>
      <c r="N56" s="21">
        <f t="shared" si="1"/>
        <v>5.891908098897833E-5</v>
      </c>
      <c r="O56" s="1">
        <f t="shared" si="2"/>
        <v>4.7080098193476553E-5</v>
      </c>
      <c r="P56" s="1">
        <f t="shared" si="3"/>
        <v>1.887259484032634E-5</v>
      </c>
    </row>
    <row r="57" spans="1:16" x14ac:dyDescent="0.3">
      <c r="A57" s="1">
        <v>0.45532229934730895</v>
      </c>
      <c r="B57" s="1">
        <v>0.20599849938260628</v>
      </c>
      <c r="F57" s="1">
        <f t="shared" si="4"/>
        <v>10.39245994917974</v>
      </c>
      <c r="L57" s="1">
        <f t="shared" si="5"/>
        <v>10.484805945451887</v>
      </c>
      <c r="M57" s="21">
        <f t="shared" si="0"/>
        <v>-9.2345996272147346E-2</v>
      </c>
      <c r="N57" s="21">
        <f t="shared" si="1"/>
        <v>9.2810046504670704E-4</v>
      </c>
      <c r="O57" s="1">
        <f t="shared" si="2"/>
        <v>4.2258483777037341E-4</v>
      </c>
      <c r="P57" s="1">
        <f t="shared" si="3"/>
        <v>1.9118730307592067E-4</v>
      </c>
    </row>
    <row r="58" spans="1:16" x14ac:dyDescent="0.3">
      <c r="A58" s="1">
        <v>0.30439423132132748</v>
      </c>
      <c r="B58" s="1">
        <v>0.92051249979921468</v>
      </c>
      <c r="F58" s="1">
        <f t="shared" si="4"/>
        <v>10.888607115500037</v>
      </c>
      <c r="L58" s="1">
        <f t="shared" si="5"/>
        <v>10.841723658621715</v>
      </c>
      <c r="M58" s="21">
        <f t="shared" si="0"/>
        <v>4.6883456878321184E-2</v>
      </c>
      <c r="N58" s="21">
        <f t="shared" si="1"/>
        <v>-4.7119052139016267E-4</v>
      </c>
      <c r="O58" s="1">
        <f t="shared" si="2"/>
        <v>-1.4342767656445407E-4</v>
      </c>
      <c r="P58" s="1">
        <f t="shared" si="3"/>
        <v>-4.3373676472655394E-4</v>
      </c>
    </row>
    <row r="59" spans="1:16" x14ac:dyDescent="0.3">
      <c r="A59" s="1">
        <v>0.35587223302468352</v>
      </c>
      <c r="B59" s="1">
        <v>0.31464488377984368</v>
      </c>
      <c r="F59" s="1">
        <f t="shared" si="4"/>
        <v>10.429652023536217</v>
      </c>
      <c r="L59" s="1">
        <f t="shared" si="5"/>
        <v>10.514179059627329</v>
      </c>
      <c r="M59" s="21">
        <f t="shared" si="0"/>
        <v>-8.4527036091111896E-2</v>
      </c>
      <c r="N59" s="21">
        <f t="shared" si="1"/>
        <v>8.495179506644412E-4</v>
      </c>
      <c r="O59" s="1">
        <f t="shared" si="2"/>
        <v>3.0231985009750764E-4</v>
      </c>
      <c r="P59" s="1">
        <f t="shared" si="3"/>
        <v>2.6729647685570405E-4</v>
      </c>
    </row>
    <row r="60" spans="1:16" x14ac:dyDescent="0.3">
      <c r="A60" s="1">
        <v>0.9031201733836407</v>
      </c>
      <c r="B60" s="1">
        <v>0.60226787988899755</v>
      </c>
      <c r="F60" s="1">
        <f t="shared" si="4"/>
        <v>10.933374390603019</v>
      </c>
      <c r="L60" s="1">
        <f t="shared" si="5"/>
        <v>10.855739707653591</v>
      </c>
      <c r="M60" s="21">
        <f t="shared" si="0"/>
        <v>7.7634682949428324E-2</v>
      </c>
      <c r="N60" s="21">
        <f t="shared" si="1"/>
        <v>-7.8024806984350076E-4</v>
      </c>
      <c r="O60" s="1">
        <f t="shared" si="2"/>
        <v>-7.0465777211931339E-4</v>
      </c>
      <c r="P60" s="1">
        <f t="shared" si="3"/>
        <v>-4.6991835081212766E-4</v>
      </c>
    </row>
    <row r="61" spans="1:16" x14ac:dyDescent="0.3">
      <c r="A61" s="1">
        <v>0.29683363925551909</v>
      </c>
      <c r="B61" s="1">
        <v>0.50026116487600958</v>
      </c>
      <c r="F61" s="1">
        <f t="shared" si="4"/>
        <v>10.548625751528567</v>
      </c>
      <c r="L61" s="1">
        <f t="shared" si="5"/>
        <v>10.600444849468341</v>
      </c>
      <c r="M61" s="21">
        <f t="shared" si="0"/>
        <v>-5.1819097939773684E-2</v>
      </c>
      <c r="N61" s="21">
        <f t="shared" si="1"/>
        <v>5.2079495416857975E-4</v>
      </c>
      <c r="O61" s="1">
        <f t="shared" si="2"/>
        <v>1.545894615517708E-4</v>
      </c>
      <c r="P61" s="1">
        <f t="shared" si="3"/>
        <v>2.6053349043392174E-4</v>
      </c>
    </row>
    <row r="62" spans="1:16" x14ac:dyDescent="0.3">
      <c r="A62" s="1">
        <v>0.49490792346211565</v>
      </c>
      <c r="B62" s="1">
        <v>0.78352631811002971</v>
      </c>
      <c r="F62" s="1">
        <f t="shared" si="4"/>
        <v>10.874275016219082</v>
      </c>
      <c r="L62" s="1">
        <f t="shared" si="5"/>
        <v>10.825884087421441</v>
      </c>
      <c r="M62" s="21">
        <f t="shared" si="0"/>
        <v>4.8390928797640953E-2</v>
      </c>
      <c r="N62" s="21">
        <f t="shared" si="1"/>
        <v>-4.8634099294111511E-4</v>
      </c>
      <c r="O62" s="1">
        <f t="shared" si="2"/>
        <v>-2.4069401091099071E-4</v>
      </c>
      <c r="P62" s="1">
        <f t="shared" si="3"/>
        <v>-3.8106096754512785E-4</v>
      </c>
    </row>
    <row r="63" spans="1:16" x14ac:dyDescent="0.3">
      <c r="A63" s="1">
        <v>0.57107408532874993</v>
      </c>
      <c r="B63" s="1">
        <v>0.74994005283336895</v>
      </c>
      <c r="F63" s="1">
        <f t="shared" si="4"/>
        <v>10.88548908493107</v>
      </c>
      <c r="L63" s="1">
        <f t="shared" si="5"/>
        <v>10.831587544534935</v>
      </c>
      <c r="M63" s="21">
        <f t="shared" si="0"/>
        <v>5.3901540396134706E-2</v>
      </c>
      <c r="N63" s="21">
        <f t="shared" si="1"/>
        <v>-5.4172402408175584E-4</v>
      </c>
      <c r="O63" s="1">
        <f t="shared" si="2"/>
        <v>-3.093645515530984E-4</v>
      </c>
      <c r="P63" s="1">
        <f t="shared" si="3"/>
        <v>-4.0626054324097719E-4</v>
      </c>
    </row>
    <row r="64" spans="1:16" x14ac:dyDescent="0.3">
      <c r="A64" s="1">
        <v>0.28591747257611977</v>
      </c>
      <c r="B64" s="1">
        <v>0.39551557938343007</v>
      </c>
      <c r="F64" s="1">
        <f t="shared" si="4"/>
        <v>10.459371199794804</v>
      </c>
      <c r="L64" s="1">
        <f t="shared" si="5"/>
        <v>10.537367748198932</v>
      </c>
      <c r="M64" s="21">
        <f t="shared" si="0"/>
        <v>-7.7996548404128063E-2</v>
      </c>
      <c r="N64" s="21">
        <f t="shared" si="1"/>
        <v>7.8388490858420168E-4</v>
      </c>
      <c r="O64" s="1">
        <f t="shared" si="2"/>
        <v>2.2412639185295764E-4</v>
      </c>
      <c r="P64" s="1">
        <f t="shared" si="3"/>
        <v>3.1003869378860762E-4</v>
      </c>
    </row>
    <row r="65" spans="1:16" x14ac:dyDescent="0.3">
      <c r="A65" s="1">
        <v>0.61615085049030871</v>
      </c>
      <c r="B65" s="1">
        <v>0.76393715684465757</v>
      </c>
      <c r="F65" s="1">
        <f t="shared" si="4"/>
        <v>10.919225150720882</v>
      </c>
      <c r="L65" s="1">
        <f t="shared" si="5"/>
        <v>10.854212798992217</v>
      </c>
      <c r="M65" s="21">
        <f t="shared" si="0"/>
        <v>6.5012351728665152E-2</v>
      </c>
      <c r="N65" s="21">
        <f t="shared" si="1"/>
        <v>-6.5339046963482561E-4</v>
      </c>
      <c r="O65" s="1">
        <f t="shared" si="2"/>
        <v>-4.0258709356776008E-4</v>
      </c>
      <c r="P65" s="1">
        <f t="shared" si="3"/>
        <v>-4.9914925768222425E-4</v>
      </c>
    </row>
    <row r="66" spans="1:16" x14ac:dyDescent="0.3">
      <c r="A66" s="1">
        <v>0.7777743279047532</v>
      </c>
      <c r="B66" s="1">
        <v>0.30405505014687995</v>
      </c>
      <c r="F66" s="1">
        <f t="shared" si="4"/>
        <v>10.632131204069882</v>
      </c>
      <c r="L66" s="1">
        <f t="shared" si="5"/>
        <v>10.645476889762403</v>
      </c>
      <c r="M66" s="21">
        <f t="shared" si="0"/>
        <v>-1.3345685692520703E-2</v>
      </c>
      <c r="N66" s="21">
        <f t="shared" si="1"/>
        <v>1.34127494397193E-4</v>
      </c>
      <c r="O66" s="1">
        <f t="shared" si="2"/>
        <v>1.0432092180832534E-4</v>
      </c>
      <c r="P66" s="1">
        <f t="shared" si="3"/>
        <v>4.0782142035013881E-5</v>
      </c>
    </row>
    <row r="67" spans="1:16" x14ac:dyDescent="0.3">
      <c r="A67" s="1">
        <v>0.201892859746853</v>
      </c>
      <c r="B67" s="1">
        <v>0.49213395384878622</v>
      </c>
      <c r="F67" s="1">
        <f t="shared" si="4"/>
        <v>10.494653592952455</v>
      </c>
      <c r="L67" s="1">
        <f t="shared" si="5"/>
        <v>10.564926148491915</v>
      </c>
      <c r="M67" s="21">
        <f t="shared" si="0"/>
        <v>-7.0272555539460768E-2</v>
      </c>
      <c r="N67" s="21">
        <f t="shared" si="1"/>
        <v>7.0625683959257054E-4</v>
      </c>
      <c r="O67" s="1">
        <f t="shared" si="2"/>
        <v>1.425882130611185E-4</v>
      </c>
      <c r="P67" s="1">
        <f t="shared" si="3"/>
        <v>3.4757297090143974E-4</v>
      </c>
    </row>
    <row r="68" spans="1:16" x14ac:dyDescent="0.3">
      <c r="A68" s="1">
        <v>4.1472737738184273E-2</v>
      </c>
      <c r="B68" s="1">
        <v>0.64401433983398126</v>
      </c>
      <c r="F68" s="1">
        <f t="shared" si="4"/>
        <v>10.535947840736277</v>
      </c>
      <c r="L68" s="1">
        <f t="shared" si="5"/>
        <v>10.599024218123178</v>
      </c>
      <c r="M68" s="21">
        <f t="shared" ref="M68:M131" si="6">+(F68-L68)</f>
        <v>-6.3076377386900973E-2</v>
      </c>
      <c r="N68" s="21">
        <f t="shared" ref="N68:N131" si="7">+(2/199)*(-M68)</f>
        <v>6.339334410743816E-4</v>
      </c>
      <c r="O68" s="1">
        <f t="shared" ref="O68:O131" si="8">+(-M68*A68)*(2/199)</f>
        <v>2.6290955345142524E-5</v>
      </c>
      <c r="P68" s="1">
        <f t="shared" ref="P68:P131" si="9">+(-M68*B68)*(2/199)</f>
        <v>4.0826222655220197E-4</v>
      </c>
    </row>
    <row r="69" spans="1:16" x14ac:dyDescent="0.3">
      <c r="A69" s="1">
        <v>0.72327811084645377</v>
      </c>
      <c r="B69" s="1">
        <v>4.1586937622318576E-2</v>
      </c>
      <c r="F69" s="1">
        <f t="shared" ref="F69:F132" si="10">+$D$6+A69*$D$8+$D$10*B69</f>
        <v>10.394908605521081</v>
      </c>
      <c r="L69" s="1">
        <f t="shared" si="5"/>
        <v>10.478586188448554</v>
      </c>
      <c r="M69" s="21">
        <f t="shared" si="6"/>
        <v>-8.3677582927473182E-2</v>
      </c>
      <c r="N69" s="21">
        <f t="shared" si="7"/>
        <v>8.4098073293942895E-4</v>
      </c>
      <c r="O69" s="1">
        <f t="shared" si="8"/>
        <v>6.0826295577869624E-4</v>
      </c>
      <c r="P69" s="1">
        <f t="shared" si="9"/>
        <v>3.4973813282323789E-5</v>
      </c>
    </row>
    <row r="70" spans="1:16" x14ac:dyDescent="0.3">
      <c r="A70" s="1">
        <v>0.43849777051593575</v>
      </c>
      <c r="B70" s="1">
        <v>0.33084734733383081</v>
      </c>
      <c r="F70" s="1">
        <f t="shared" si="10"/>
        <v>10.483926763125034</v>
      </c>
      <c r="L70" s="1">
        <f t="shared" ref="L70:L133" si="11">+$H$4+$H$6*A70+$H$9*B70</f>
        <v>10.550278498906264</v>
      </c>
      <c r="M70" s="21">
        <f t="shared" si="6"/>
        <v>-6.6351735781230659E-2</v>
      </c>
      <c r="N70" s="21">
        <f t="shared" si="7"/>
        <v>6.6685161589176542E-4</v>
      </c>
      <c r="O70" s="1">
        <f t="shared" si="8"/>
        <v>2.9241294683348827E-4</v>
      </c>
      <c r="P70" s="1">
        <f t="shared" si="9"/>
        <v>2.2062608818306924E-4</v>
      </c>
    </row>
    <row r="71" spans="1:16" x14ac:dyDescent="0.3">
      <c r="A71" s="1">
        <v>0.90425803335522392</v>
      </c>
      <c r="B71" s="1">
        <v>8.3831709593924053E-2</v>
      </c>
      <c r="F71" s="1">
        <f t="shared" si="10"/>
        <v>10.519194384352751</v>
      </c>
      <c r="L71" s="1">
        <f t="shared" si="11"/>
        <v>10.5614960403735</v>
      </c>
      <c r="M71" s="21">
        <f t="shared" si="6"/>
        <v>-4.2301656020748979E-2</v>
      </c>
      <c r="N71" s="21">
        <f t="shared" si="7"/>
        <v>4.2514227156531639E-4</v>
      </c>
      <c r="O71" s="1">
        <f t="shared" si="8"/>
        <v>3.844383143818255E-4</v>
      </c>
      <c r="P71" s="1">
        <f t="shared" si="9"/>
        <v>3.5640403445964798E-5</v>
      </c>
    </row>
    <row r="72" spans="1:16" x14ac:dyDescent="0.3">
      <c r="A72" s="1">
        <v>0.14404606962444078</v>
      </c>
      <c r="B72" s="1">
        <v>0.2517508045196114</v>
      </c>
      <c r="F72" s="1">
        <f t="shared" si="10"/>
        <v>10.273423678427909</v>
      </c>
      <c r="L72" s="1">
        <f t="shared" si="11"/>
        <v>10.409495261080407</v>
      </c>
      <c r="M72" s="21">
        <f t="shared" si="6"/>
        <v>-0.13607158265249808</v>
      </c>
      <c r="N72" s="21">
        <f t="shared" si="7"/>
        <v>1.3675535944974683E-3</v>
      </c>
      <c r="O72" s="1">
        <f t="shared" si="8"/>
        <v>1.9699072028813656E-4</v>
      </c>
      <c r="P72" s="1">
        <f t="shared" si="9"/>
        <v>3.4428271763842406E-4</v>
      </c>
    </row>
    <row r="73" spans="1:16" x14ac:dyDescent="0.3">
      <c r="A73" s="1">
        <v>0.84341613661536574</v>
      </c>
      <c r="B73" s="1">
        <v>0.99442054542475933</v>
      </c>
      <c r="F73" s="1">
        <f t="shared" si="10"/>
        <v>11.217244504647491</v>
      </c>
      <c r="L73" s="1">
        <f t="shared" si="11"/>
        <v>11.059158257242078</v>
      </c>
      <c r="M73" s="21">
        <f t="shared" si="6"/>
        <v>0.15808624740541255</v>
      </c>
      <c r="N73" s="21">
        <f t="shared" si="7"/>
        <v>-1.5888065065870608E-3</v>
      </c>
      <c r="O73" s="1">
        <f t="shared" si="8"/>
        <v>-1.3400250456150145E-3</v>
      </c>
      <c r="P73" s="1">
        <f t="shared" si="9"/>
        <v>-1.5799418328547117E-3</v>
      </c>
    </row>
    <row r="74" spans="1:16" x14ac:dyDescent="0.3">
      <c r="A74" s="1">
        <v>0.76957276364435512</v>
      </c>
      <c r="B74" s="1">
        <v>0.1301067181720521</v>
      </c>
      <c r="F74" s="1">
        <f t="shared" si="10"/>
        <v>10.488871756359819</v>
      </c>
      <c r="L74" s="1">
        <f t="shared" si="11"/>
        <v>10.543957156179879</v>
      </c>
      <c r="M74" s="21">
        <f t="shared" si="6"/>
        <v>-5.5085399820059777E-2</v>
      </c>
      <c r="N74" s="21">
        <f t="shared" si="7"/>
        <v>5.5362210874431936E-4</v>
      </c>
      <c r="O74" s="1">
        <f t="shared" si="8"/>
        <v>4.2605249624098158E-4</v>
      </c>
      <c r="P74" s="1">
        <f t="shared" si="9"/>
        <v>7.2029955676214337E-5</v>
      </c>
    </row>
    <row r="75" spans="1:16" x14ac:dyDescent="0.3">
      <c r="A75" s="1">
        <v>0.7856081138025961</v>
      </c>
      <c r="B75" s="1">
        <v>0.65857850416667862</v>
      </c>
      <c r="F75" s="1">
        <f t="shared" si="10"/>
        <v>10.91966686023464</v>
      </c>
      <c r="L75" s="1">
        <f t="shared" si="11"/>
        <v>10.849493142636348</v>
      </c>
      <c r="M75" s="21">
        <f t="shared" si="6"/>
        <v>7.0173717598292384E-2</v>
      </c>
      <c r="N75" s="21">
        <f t="shared" si="7"/>
        <v>-7.0526349345017474E-4</v>
      </c>
      <c r="O75" s="1">
        <f t="shared" si="8"/>
        <v>-5.5406072282322141E-4</v>
      </c>
      <c r="P75" s="1">
        <f t="shared" si="9"/>
        <v>-4.6447137655978221E-4</v>
      </c>
    </row>
    <row r="76" spans="1:16" x14ac:dyDescent="0.3">
      <c r="A76" s="1">
        <v>0.64047461040955889</v>
      </c>
      <c r="B76" s="1">
        <v>0.47848680707682556</v>
      </c>
      <c r="F76" s="1">
        <f t="shared" si="10"/>
        <v>10.70302675086624</v>
      </c>
      <c r="L76" s="1">
        <f t="shared" si="11"/>
        <v>10.699915285198498</v>
      </c>
      <c r="M76" s="21">
        <f t="shared" si="6"/>
        <v>3.1114656677413421E-3</v>
      </c>
      <c r="N76" s="21">
        <f t="shared" si="7"/>
        <v>-3.1271011736093894E-5</v>
      </c>
      <c r="O76" s="1">
        <f t="shared" si="8"/>
        <v>-2.0028289058787477E-5</v>
      </c>
      <c r="P76" s="1">
        <f t="shared" si="9"/>
        <v>-1.4962766559665506E-5</v>
      </c>
    </row>
    <row r="77" spans="1:16" x14ac:dyDescent="0.3">
      <c r="A77" s="1">
        <v>0.23506317544310695</v>
      </c>
      <c r="B77" s="1">
        <v>0.69784800801132107</v>
      </c>
      <c r="F77" s="1">
        <f t="shared" si="10"/>
        <v>10.67580999413061</v>
      </c>
      <c r="L77" s="1">
        <f t="shared" si="11"/>
        <v>10.69262406616936</v>
      </c>
      <c r="M77" s="21">
        <f t="shared" si="6"/>
        <v>-1.6814072038750183E-2</v>
      </c>
      <c r="N77" s="21">
        <f t="shared" si="7"/>
        <v>1.689856486306551E-4</v>
      </c>
      <c r="O77" s="1">
        <f t="shared" si="8"/>
        <v>3.9722303171434907E-5</v>
      </c>
      <c r="P77" s="1">
        <f t="shared" si="9"/>
        <v>1.1792629827940369E-4</v>
      </c>
    </row>
    <row r="78" spans="1:16" x14ac:dyDescent="0.3">
      <c r="A78" s="1">
        <v>0.49501458338816717</v>
      </c>
      <c r="B78" s="1">
        <v>0.88618206206965289</v>
      </c>
      <c r="F78" s="1">
        <f t="shared" si="10"/>
        <v>10.956452941349806</v>
      </c>
      <c r="L78" s="1">
        <f t="shared" si="11"/>
        <v>10.884255433356111</v>
      </c>
      <c r="M78" s="21">
        <f t="shared" si="6"/>
        <v>7.2197507993694288E-2</v>
      </c>
      <c r="N78" s="21">
        <f t="shared" si="7"/>
        <v>-7.2560309541401297E-4</v>
      </c>
      <c r="O78" s="1">
        <f t="shared" si="8"/>
        <v>-3.5918411398153208E-4</v>
      </c>
      <c r="P78" s="1">
        <f t="shared" si="9"/>
        <v>-6.4301644733811311E-4</v>
      </c>
    </row>
    <row r="79" spans="1:16" x14ac:dyDescent="0.3">
      <c r="A79" s="1">
        <v>0.44495525166634553</v>
      </c>
      <c r="B79" s="1">
        <v>5.5014375613647637E-2</v>
      </c>
      <c r="F79" s="1">
        <f t="shared" si="10"/>
        <v>10.266489126324091</v>
      </c>
      <c r="L79" s="1">
        <f t="shared" si="11"/>
        <v>10.395631387326882</v>
      </c>
      <c r="M79" s="21">
        <f t="shared" si="6"/>
        <v>-0.1291422610027908</v>
      </c>
      <c r="N79" s="21">
        <f t="shared" si="7"/>
        <v>1.2979121708823196E-3</v>
      </c>
      <c r="O79" s="1">
        <f t="shared" si="8"/>
        <v>5.7751283663575544E-4</v>
      </c>
      <c r="P79" s="1">
        <f t="shared" si="9"/>
        <v>7.1403827682444752E-5</v>
      </c>
    </row>
    <row r="80" spans="1:16" x14ac:dyDescent="0.3">
      <c r="A80" s="1">
        <v>0.10528924263605144</v>
      </c>
      <c r="B80" s="1">
        <v>5.4179827682144799E-3</v>
      </c>
      <c r="F80" s="1">
        <f t="shared" si="10"/>
        <v>10.056979007532597</v>
      </c>
      <c r="L80" s="1">
        <f t="shared" si="11"/>
        <v>10.256896505156952</v>
      </c>
      <c r="M80" s="21">
        <f t="shared" si="6"/>
        <v>-0.19991749762435518</v>
      </c>
      <c r="N80" s="21">
        <f t="shared" si="7"/>
        <v>2.009221081651811E-3</v>
      </c>
      <c r="O80" s="1">
        <f t="shared" si="8"/>
        <v>2.1154936597550725E-4</v>
      </c>
      <c r="P80" s="1">
        <f t="shared" si="9"/>
        <v>1.088592519792277E-5</v>
      </c>
    </row>
    <row r="81" spans="1:16" x14ac:dyDescent="0.3">
      <c r="A81" s="1">
        <v>0.99730981747611336</v>
      </c>
      <c r="B81" s="1">
        <v>0.27274533232078091</v>
      </c>
      <c r="F81" s="1">
        <f t="shared" si="10"/>
        <v>10.716851174594682</v>
      </c>
      <c r="L81" s="1">
        <f t="shared" si="11"/>
        <v>10.699136223210219</v>
      </c>
      <c r="M81" s="21">
        <f t="shared" si="6"/>
        <v>1.7714951384462552E-2</v>
      </c>
      <c r="N81" s="21">
        <f t="shared" si="7"/>
        <v>-1.7803971240665882E-4</v>
      </c>
      <c r="O81" s="1">
        <f t="shared" si="8"/>
        <v>-1.7756075308378462E-4</v>
      </c>
      <c r="P81" s="1">
        <f t="shared" si="9"/>
        <v>-4.8559500526650414E-5</v>
      </c>
    </row>
    <row r="82" spans="1:16" x14ac:dyDescent="0.3">
      <c r="A82" s="1">
        <v>0.99697113994957443</v>
      </c>
      <c r="B82" s="1">
        <v>0.89507669482686558</v>
      </c>
      <c r="F82" s="1">
        <f t="shared" si="10"/>
        <v>11.214546925836281</v>
      </c>
      <c r="L82" s="1">
        <f t="shared" si="11"/>
        <v>11.052680977272235</v>
      </c>
      <c r="M82" s="21">
        <f t="shared" si="6"/>
        <v>0.16186594856404568</v>
      </c>
      <c r="N82" s="21">
        <f t="shared" si="7"/>
        <v>-1.6267934529049818E-3</v>
      </c>
      <c r="O82" s="1">
        <f t="shared" si="8"/>
        <v>-1.6218661232051839E-3</v>
      </c>
      <c r="P82" s="1">
        <f t="shared" si="9"/>
        <v>-1.4561049069921753E-3</v>
      </c>
    </row>
    <row r="83" spans="1:16" x14ac:dyDescent="0.3">
      <c r="A83" s="1">
        <v>9.5080859652952876E-3</v>
      </c>
      <c r="B83" s="1">
        <v>0.77914459081513399</v>
      </c>
      <c r="F83" s="1">
        <f t="shared" si="10"/>
        <v>10.628069715634755</v>
      </c>
      <c r="L83" s="1">
        <f t="shared" si="11"/>
        <v>10.665411799519601</v>
      </c>
      <c r="M83" s="21">
        <f t="shared" si="6"/>
        <v>-3.7342083884846389E-2</v>
      </c>
      <c r="N83" s="21">
        <f t="shared" si="7"/>
        <v>3.7529732547584313E-4</v>
      </c>
      <c r="O83" s="1">
        <f t="shared" si="8"/>
        <v>3.5683592331697215E-6</v>
      </c>
      <c r="P83" s="1">
        <f t="shared" si="9"/>
        <v>2.9241088109188993E-4</v>
      </c>
    </row>
    <row r="84" spans="1:16" x14ac:dyDescent="0.3">
      <c r="A84" s="1">
        <v>0.98632347928139275</v>
      </c>
      <c r="B84" s="1">
        <v>0.14087062245274973</v>
      </c>
      <c r="F84" s="1">
        <f t="shared" si="10"/>
        <v>10.605858237602895</v>
      </c>
      <c r="L84" s="1">
        <f t="shared" si="11"/>
        <v>10.620619496405549</v>
      </c>
      <c r="M84" s="21">
        <f t="shared" si="6"/>
        <v>-1.4761258802653998E-2</v>
      </c>
      <c r="N84" s="21">
        <f t="shared" si="7"/>
        <v>1.4835435982566832E-4</v>
      </c>
      <c r="O84" s="1">
        <f t="shared" si="8"/>
        <v>1.4632538834981684E-4</v>
      </c>
      <c r="P84" s="1">
        <f t="shared" si="9"/>
        <v>2.0898771012221104E-5</v>
      </c>
    </row>
    <row r="85" spans="1:16" x14ac:dyDescent="0.3">
      <c r="A85" s="1">
        <v>0.22422167841735141</v>
      </c>
      <c r="B85" s="1">
        <v>0.55193354624336621</v>
      </c>
      <c r="F85" s="1">
        <f t="shared" si="10"/>
        <v>10.553657676203368</v>
      </c>
      <c r="L85" s="1">
        <f t="shared" si="11"/>
        <v>10.606176048960139</v>
      </c>
      <c r="M85" s="21">
        <f t="shared" si="6"/>
        <v>-5.2518372756770404E-2</v>
      </c>
      <c r="N85" s="21">
        <f t="shared" si="7"/>
        <v>5.2782284177658697E-4</v>
      </c>
      <c r="O85" s="1">
        <f t="shared" si="8"/>
        <v>1.1834932349016245E-4</v>
      </c>
      <c r="P85" s="1">
        <f t="shared" si="9"/>
        <v>2.9132313285000282E-4</v>
      </c>
    </row>
    <row r="86" spans="1:16" x14ac:dyDescent="0.3">
      <c r="A86" s="1">
        <v>0.27384447832426595</v>
      </c>
      <c r="B86" s="1">
        <v>2.7589307445595401E-2</v>
      </c>
      <c r="F86" s="1">
        <f t="shared" si="10"/>
        <v>10.158993685118608</v>
      </c>
      <c r="L86" s="1">
        <f t="shared" si="11"/>
        <v>10.324355289011972</v>
      </c>
      <c r="M86" s="21">
        <f t="shared" si="6"/>
        <v>-0.16536160389336452</v>
      </c>
      <c r="N86" s="21">
        <f t="shared" si="7"/>
        <v>1.6619256672699952E-3</v>
      </c>
      <c r="O86" s="1">
        <f t="shared" si="8"/>
        <v>4.5510916736725941E-4</v>
      </c>
      <c r="P86" s="1">
        <f t="shared" si="9"/>
        <v>4.5851378186038182E-5</v>
      </c>
    </row>
    <row r="87" spans="1:16" x14ac:dyDescent="0.3">
      <c r="A87" s="1">
        <v>0.59654191481438545</v>
      </c>
      <c r="B87" s="1">
        <v>0.86703284800751446</v>
      </c>
      <c r="F87" s="1">
        <f t="shared" si="10"/>
        <v>10.991897235813203</v>
      </c>
      <c r="L87" s="1">
        <f t="shared" si="11"/>
        <v>10.90641735409333</v>
      </c>
      <c r="M87" s="21">
        <f t="shared" si="6"/>
        <v>8.5479881719873418E-2</v>
      </c>
      <c r="N87" s="21">
        <f t="shared" si="7"/>
        <v>-8.5909428864194392E-4</v>
      </c>
      <c r="O87" s="1">
        <f t="shared" si="8"/>
        <v>-5.1248575195256751E-4</v>
      </c>
      <c r="P87" s="1">
        <f t="shared" si="9"/>
        <v>-7.4486296778821426E-4</v>
      </c>
    </row>
    <row r="88" spans="1:16" x14ac:dyDescent="0.3">
      <c r="A88" s="1">
        <v>0.69454429441708798</v>
      </c>
      <c r="B88" s="1">
        <v>0.5401158444389732</v>
      </c>
      <c r="F88" s="1">
        <f t="shared" si="10"/>
        <v>10.779364822759723</v>
      </c>
      <c r="L88" s="1">
        <f t="shared" si="11"/>
        <v>10.752535458188531</v>
      </c>
      <c r="M88" s="21">
        <f t="shared" si="6"/>
        <v>2.6829364571192116E-2</v>
      </c>
      <c r="N88" s="21">
        <f t="shared" si="7"/>
        <v>-2.6964185498685545E-4</v>
      </c>
      <c r="O88" s="1">
        <f t="shared" si="8"/>
        <v>-1.8727821191716026E-4</v>
      </c>
      <c r="P88" s="1">
        <f t="shared" si="9"/>
        <v>-1.4563783820231658E-4</v>
      </c>
    </row>
    <row r="89" spans="1:16" x14ac:dyDescent="0.3">
      <c r="A89" s="1">
        <v>0.52084867161893622</v>
      </c>
      <c r="B89" s="1">
        <v>0.61613736314066514</v>
      </c>
      <c r="F89" s="1">
        <f t="shared" si="10"/>
        <v>10.753334226322</v>
      </c>
      <c r="L89" s="1">
        <f t="shared" si="11"/>
        <v>10.739204120582045</v>
      </c>
      <c r="M89" s="21">
        <f t="shared" si="6"/>
        <v>1.4130105739955212E-2</v>
      </c>
      <c r="N89" s="21">
        <f t="shared" si="7"/>
        <v>-1.4201111296437399E-4</v>
      </c>
      <c r="O89" s="1">
        <f t="shared" si="8"/>
        <v>-7.3966299542620881E-5</v>
      </c>
      <c r="P89" s="1">
        <f t="shared" si="9"/>
        <v>-8.7498352678540528E-5</v>
      </c>
    </row>
    <row r="90" spans="1:16" x14ac:dyDescent="0.3">
      <c r="A90" s="1">
        <v>0.47034165440722331</v>
      </c>
      <c r="B90" s="1">
        <v>0.48798813940980257</v>
      </c>
      <c r="F90" s="1">
        <f t="shared" si="10"/>
        <v>10.625561338731455</v>
      </c>
      <c r="L90" s="1">
        <f t="shared" si="11"/>
        <v>10.649941763602097</v>
      </c>
      <c r="M90" s="21">
        <f t="shared" si="6"/>
        <v>-2.4380424870642514E-2</v>
      </c>
      <c r="N90" s="21">
        <f t="shared" si="7"/>
        <v>2.4502939568484938E-4</v>
      </c>
      <c r="O90" s="1">
        <f t="shared" si="8"/>
        <v>1.1524753134481422E-4</v>
      </c>
      <c r="P90" s="1">
        <f t="shared" si="9"/>
        <v>1.1957143890095796E-4</v>
      </c>
    </row>
    <row r="91" spans="1:16" x14ac:dyDescent="0.3">
      <c r="A91" s="1">
        <v>0.72099397676000065</v>
      </c>
      <c r="B91" s="1">
        <v>0.29143095466452273</v>
      </c>
      <c r="F91" s="1">
        <f t="shared" si="10"/>
        <v>10.593641752111617</v>
      </c>
      <c r="L91" s="1">
        <f t="shared" si="11"/>
        <v>10.619822734563142</v>
      </c>
      <c r="M91" s="21">
        <f t="shared" si="6"/>
        <v>-2.618098245152467E-2</v>
      </c>
      <c r="N91" s="21">
        <f t="shared" si="7"/>
        <v>2.6312545177411731E-4</v>
      </c>
      <c r="O91" s="1">
        <f t="shared" si="8"/>
        <v>1.8971186586139261E-4</v>
      </c>
      <c r="P91" s="1">
        <f t="shared" si="9"/>
        <v>7.6682901607064841E-5</v>
      </c>
    </row>
    <row r="92" spans="1:16" x14ac:dyDescent="0.3">
      <c r="A92" s="1">
        <v>0.45041141354235237</v>
      </c>
      <c r="B92" s="1">
        <v>0.4419728897631261</v>
      </c>
      <c r="F92" s="1">
        <f t="shared" si="10"/>
        <v>10.578784018581677</v>
      </c>
      <c r="L92" s="1">
        <f t="shared" si="11"/>
        <v>10.617305813328798</v>
      </c>
      <c r="M92" s="21">
        <f t="shared" si="6"/>
        <v>-3.8521794747120808E-2</v>
      </c>
      <c r="N92" s="21">
        <f t="shared" si="7"/>
        <v>3.8715371605146541E-4</v>
      </c>
      <c r="O92" s="1">
        <f t="shared" si="8"/>
        <v>1.7437845250491504E-4</v>
      </c>
      <c r="P92" s="1">
        <f t="shared" si="9"/>
        <v>1.7111144666579896E-4</v>
      </c>
    </row>
    <row r="93" spans="1:16" x14ac:dyDescent="0.3">
      <c r="A93" s="1">
        <v>0.24205748456807041</v>
      </c>
      <c r="B93" s="1">
        <v>5.8744047375086761E-2</v>
      </c>
      <c r="F93" s="1">
        <f t="shared" si="10"/>
        <v>10.168023980184106</v>
      </c>
      <c r="L93" s="1">
        <f t="shared" si="11"/>
        <v>10.331714071098869</v>
      </c>
      <c r="M93" s="21">
        <f t="shared" si="6"/>
        <v>-0.16369009091476272</v>
      </c>
      <c r="N93" s="21">
        <f t="shared" si="7"/>
        <v>1.6451265418569118E-3</v>
      </c>
      <c r="O93" s="1">
        <f t="shared" si="8"/>
        <v>3.9821519251805244E-4</v>
      </c>
      <c r="P93" s="1">
        <f t="shared" si="9"/>
        <v>9.664139151285508E-5</v>
      </c>
    </row>
    <row r="94" spans="1:16" x14ac:dyDescent="0.3">
      <c r="A94" s="1">
        <v>0.92089880214682118</v>
      </c>
      <c r="B94" s="1">
        <v>0.96960143095875873</v>
      </c>
      <c r="F94" s="1">
        <f t="shared" si="10"/>
        <v>11.236130545840419</v>
      </c>
      <c r="L94" s="1">
        <f t="shared" si="11"/>
        <v>11.070272341961577</v>
      </c>
      <c r="M94" s="21">
        <f t="shared" si="6"/>
        <v>0.16585820387884276</v>
      </c>
      <c r="N94" s="21">
        <f t="shared" si="7"/>
        <v>-1.6669166218979171E-3</v>
      </c>
      <c r="O94" s="1">
        <f t="shared" si="8"/>
        <v>-1.5350615203844177E-3</v>
      </c>
      <c r="P94" s="1">
        <f t="shared" si="9"/>
        <v>-1.6162447418811606E-3</v>
      </c>
    </row>
    <row r="95" spans="1:16" x14ac:dyDescent="0.3">
      <c r="A95" s="1">
        <v>0.23420511109758702</v>
      </c>
      <c r="B95" s="1">
        <v>0.5178037775305675</v>
      </c>
      <c r="F95" s="1">
        <f t="shared" si="10"/>
        <v>10.531345577573248</v>
      </c>
      <c r="L95" s="1">
        <f t="shared" si="11"/>
        <v>10.590030266010453</v>
      </c>
      <c r="M95" s="21">
        <f t="shared" si="6"/>
        <v>-5.8684688437205423E-2</v>
      </c>
      <c r="N95" s="21">
        <f t="shared" si="7"/>
        <v>5.8979586369050676E-4</v>
      </c>
      <c r="O95" s="1">
        <f t="shared" si="8"/>
        <v>1.3813320578053243E-4</v>
      </c>
      <c r="P95" s="1">
        <f t="shared" si="9"/>
        <v>3.0539852619084807E-4</v>
      </c>
    </row>
    <row r="96" spans="1:16" x14ac:dyDescent="0.3">
      <c r="A96" s="1">
        <v>0.16315547516484541</v>
      </c>
      <c r="B96" s="1">
        <v>0.34396061565204639</v>
      </c>
      <c r="F96" s="1">
        <f t="shared" si="10"/>
        <v>10.35674623010406</v>
      </c>
      <c r="L96" s="1">
        <f t="shared" si="11"/>
        <v>10.468115242271667</v>
      </c>
      <c r="M96" s="21">
        <f t="shared" si="6"/>
        <v>-0.1113690121676072</v>
      </c>
      <c r="N96" s="21">
        <f t="shared" si="7"/>
        <v>1.1192865544483136E-3</v>
      </c>
      <c r="O96" s="1">
        <f t="shared" si="8"/>
        <v>1.826177296366372E-4</v>
      </c>
      <c r="P96" s="1">
        <f t="shared" si="9"/>
        <v>3.8499049235909966E-4</v>
      </c>
    </row>
    <row r="97" spans="1:16" x14ac:dyDescent="0.3">
      <c r="A97" s="1">
        <v>0.96817122088297158</v>
      </c>
      <c r="B97" s="1">
        <v>0.91513831732473838</v>
      </c>
      <c r="F97" s="1">
        <f t="shared" si="10"/>
        <v>11.216196264301278</v>
      </c>
      <c r="L97" s="1">
        <f t="shared" si="11"/>
        <v>11.054708022833509</v>
      </c>
      <c r="M97" s="21">
        <f t="shared" si="6"/>
        <v>0.16148824146776874</v>
      </c>
      <c r="N97" s="21">
        <f t="shared" si="7"/>
        <v>-1.6229974016861181E-3</v>
      </c>
      <c r="O97" s="1">
        <f t="shared" si="8"/>
        <v>-1.5713393758803396E-3</v>
      </c>
      <c r="P97" s="1">
        <f t="shared" si="9"/>
        <v>-1.4852671112014566E-3</v>
      </c>
    </row>
    <row r="98" spans="1:16" x14ac:dyDescent="0.3">
      <c r="A98" s="1">
        <v>0.15851767369844216</v>
      </c>
      <c r="B98" s="1">
        <v>0.54359822177408779</v>
      </c>
      <c r="F98" s="1">
        <f t="shared" si="10"/>
        <v>10.514137414268491</v>
      </c>
      <c r="L98" s="1">
        <f t="shared" si="11"/>
        <v>10.580054726102038</v>
      </c>
      <c r="M98" s="21">
        <f t="shared" si="6"/>
        <v>-6.5917311833546322E-2</v>
      </c>
      <c r="N98" s="21">
        <f t="shared" si="7"/>
        <v>6.6248554606579218E-4</v>
      </c>
      <c r="O98" s="1">
        <f t="shared" si="8"/>
        <v>1.0501566762119152E-4</v>
      </c>
      <c r="P98" s="1">
        <f t="shared" si="9"/>
        <v>3.6012596479240014E-4</v>
      </c>
    </row>
    <row r="99" spans="1:16" x14ac:dyDescent="0.3">
      <c r="A99" s="1">
        <v>0.764064184050673</v>
      </c>
      <c r="B99" s="1">
        <v>0.81533984989165709</v>
      </c>
      <c r="F99" s="1">
        <f t="shared" si="10"/>
        <v>11.034303971938662</v>
      </c>
      <c r="L99" s="1">
        <f t="shared" si="11"/>
        <v>10.931564736240405</v>
      </c>
      <c r="M99" s="21">
        <f t="shared" si="6"/>
        <v>0.10273923569825705</v>
      </c>
      <c r="N99" s="21">
        <f t="shared" si="7"/>
        <v>-1.0325551326457994E-3</v>
      </c>
      <c r="O99" s="1">
        <f t="shared" si="8"/>
        <v>-7.8893839491234717E-4</v>
      </c>
      <c r="P99" s="1">
        <f t="shared" si="9"/>
        <v>-8.4188334685628618E-4</v>
      </c>
    </row>
    <row r="100" spans="1:16" x14ac:dyDescent="0.3">
      <c r="A100" s="1">
        <v>0.23830129827947844</v>
      </c>
      <c r="B100" s="1">
        <v>0.30216374969410498</v>
      </c>
      <c r="F100" s="1">
        <f t="shared" si="10"/>
        <v>10.360881648895022</v>
      </c>
      <c r="L100" s="1">
        <f t="shared" si="11"/>
        <v>10.468820737264553</v>
      </c>
      <c r="M100" s="21">
        <f t="shared" si="6"/>
        <v>-0.10793908836953037</v>
      </c>
      <c r="N100" s="21">
        <f t="shared" si="7"/>
        <v>1.0848149584877424E-3</v>
      </c>
      <c r="O100" s="1">
        <f t="shared" si="8"/>
        <v>2.5851281300062751E-4</v>
      </c>
      <c r="P100" s="1">
        <f t="shared" si="9"/>
        <v>3.2779175558091112E-4</v>
      </c>
    </row>
    <row r="101" spans="1:16" x14ac:dyDescent="0.3">
      <c r="A101" s="1">
        <v>0.13462150162295294</v>
      </c>
      <c r="B101" s="1">
        <v>0.78991841781821104</v>
      </c>
      <c r="F101" s="1">
        <f t="shared" si="10"/>
        <v>10.699245485066045</v>
      </c>
      <c r="L101" s="1">
        <f t="shared" si="11"/>
        <v>10.712254741481466</v>
      </c>
      <c r="M101" s="21">
        <f t="shared" si="6"/>
        <v>-1.3009256415420722E-2</v>
      </c>
      <c r="N101" s="21">
        <f t="shared" si="7"/>
        <v>1.3074629563236906E-4</v>
      </c>
      <c r="O101" s="1">
        <f t="shared" si="8"/>
        <v>1.760126264966806E-5</v>
      </c>
      <c r="P101" s="1">
        <f t="shared" si="9"/>
        <v>1.0327890698151306E-4</v>
      </c>
    </row>
    <row r="102" spans="1:16" x14ac:dyDescent="0.3">
      <c r="A102" s="1">
        <v>0.28790186181917621</v>
      </c>
      <c r="B102" s="1">
        <v>0.79180153377819373</v>
      </c>
      <c r="F102" s="1">
        <f t="shared" si="10"/>
        <v>10.777392157932143</v>
      </c>
      <c r="L102" s="1">
        <f t="shared" si="11"/>
        <v>10.763212767759164</v>
      </c>
      <c r="M102" s="21">
        <f t="shared" si="6"/>
        <v>1.4179390172978756E-2</v>
      </c>
      <c r="N102" s="21">
        <f t="shared" si="7"/>
        <v>-1.42506433899284E-4</v>
      </c>
      <c r="O102" s="1">
        <f t="shared" si="8"/>
        <v>-4.1027867640815224E-5</v>
      </c>
      <c r="P102" s="1">
        <f t="shared" si="9"/>
        <v>-1.1283681293471385E-4</v>
      </c>
    </row>
    <row r="103" spans="1:16" x14ac:dyDescent="0.3">
      <c r="A103" s="1">
        <v>0.42322259789808403</v>
      </c>
      <c r="B103" s="1">
        <v>0.18597349551752251</v>
      </c>
      <c r="F103" s="1">
        <f t="shared" si="10"/>
        <v>10.36039009536306</v>
      </c>
      <c r="L103" s="1">
        <f t="shared" si="11"/>
        <v>10.462978812796077</v>
      </c>
      <c r="M103" s="21">
        <f t="shared" si="6"/>
        <v>-0.1025887174330169</v>
      </c>
      <c r="N103" s="21">
        <f t="shared" si="7"/>
        <v>1.0310423862614764E-3</v>
      </c>
      <c r="O103" s="1">
        <f t="shared" si="8"/>
        <v>4.3636043725662186E-4</v>
      </c>
      <c r="P103" s="1">
        <f t="shared" si="9"/>
        <v>1.917465565997744E-4</v>
      </c>
    </row>
    <row r="104" spans="1:16" x14ac:dyDescent="0.3">
      <c r="A104" s="1">
        <v>0.91155733900540581</v>
      </c>
      <c r="B104" s="1">
        <v>0.89125461054609678</v>
      </c>
      <c r="F104" s="1">
        <f t="shared" si="10"/>
        <v>11.16878235793958</v>
      </c>
      <c r="L104" s="1">
        <f t="shared" si="11"/>
        <v>11.022709499229222</v>
      </c>
      <c r="M104" s="21">
        <f t="shared" si="6"/>
        <v>0.14607285871035813</v>
      </c>
      <c r="N104" s="21">
        <f t="shared" si="7"/>
        <v>-1.4680689317623933E-3</v>
      </c>
      <c r="O104" s="1">
        <f t="shared" si="8"/>
        <v>-1.3382290089138361E-3</v>
      </c>
      <c r="P104" s="1">
        <f t="shared" si="9"/>
        <v>-1.308423204032716E-3</v>
      </c>
    </row>
    <row r="105" spans="1:16" x14ac:dyDescent="0.3">
      <c r="A105" s="1">
        <v>0.11604058627953229</v>
      </c>
      <c r="B105" s="1">
        <v>0.10424605785834096</v>
      </c>
      <c r="F105" s="1">
        <f t="shared" si="10"/>
        <v>10.141417139426439</v>
      </c>
      <c r="L105" s="1">
        <f t="shared" si="11"/>
        <v>10.316557192066341</v>
      </c>
      <c r="M105" s="21">
        <f t="shared" si="6"/>
        <v>-0.17514005263990207</v>
      </c>
      <c r="N105" s="21">
        <f t="shared" si="7"/>
        <v>1.7602015340693676E-3</v>
      </c>
      <c r="O105" s="1">
        <f t="shared" si="8"/>
        <v>2.0425481798354151E-4</v>
      </c>
      <c r="P105" s="1">
        <f t="shared" si="9"/>
        <v>1.8349407096293578E-4</v>
      </c>
    </row>
    <row r="106" spans="1:16" x14ac:dyDescent="0.3">
      <c r="A106" s="1">
        <v>0.37186192700360654</v>
      </c>
      <c r="B106" s="1">
        <v>0.73308527148298575</v>
      </c>
      <c r="F106" s="1">
        <f t="shared" si="10"/>
        <v>10.772399180688192</v>
      </c>
      <c r="L106" s="1">
        <f t="shared" si="11"/>
        <v>10.757172159380762</v>
      </c>
      <c r="M106" s="21">
        <f t="shared" si="6"/>
        <v>1.5227021307429922E-2</v>
      </c>
      <c r="N106" s="21">
        <f t="shared" si="7"/>
        <v>-1.5303539002442133E-4</v>
      </c>
      <c r="O106" s="1">
        <f t="shared" si="8"/>
        <v>-5.6908035034229821E-5</v>
      </c>
      <c r="P106" s="1">
        <f t="shared" si="9"/>
        <v>-1.1218799044255752E-4</v>
      </c>
    </row>
    <row r="107" spans="1:16" x14ac:dyDescent="0.3">
      <c r="A107" s="1">
        <v>0.8042987350440447</v>
      </c>
      <c r="B107" s="1">
        <v>0.21421223968755787</v>
      </c>
      <c r="F107" s="1">
        <f t="shared" si="10"/>
        <v>10.57351915927207</v>
      </c>
      <c r="L107" s="1">
        <f t="shared" si="11"/>
        <v>10.603054374322838</v>
      </c>
      <c r="M107" s="21">
        <f t="shared" si="6"/>
        <v>-2.9535215050767505E-2</v>
      </c>
      <c r="N107" s="21">
        <f t="shared" si="7"/>
        <v>2.9683633216851766E-4</v>
      </c>
      <c r="O107" s="1">
        <f t="shared" si="8"/>
        <v>2.3874508647825262E-4</v>
      </c>
      <c r="P107" s="1">
        <f t="shared" si="9"/>
        <v>6.3585975534458046E-5</v>
      </c>
    </row>
    <row r="108" spans="1:16" x14ac:dyDescent="0.3">
      <c r="A108" s="1">
        <v>0.94589199802727586</v>
      </c>
      <c r="B108" s="1">
        <v>0.42691309641241226</v>
      </c>
      <c r="F108" s="1">
        <f t="shared" si="10"/>
        <v>10.814476476143566</v>
      </c>
      <c r="L108" s="1">
        <f t="shared" si="11"/>
        <v>10.770010946390778</v>
      </c>
      <c r="M108" s="21">
        <f t="shared" si="6"/>
        <v>4.4465529752788058E-2</v>
      </c>
      <c r="N108" s="21">
        <f t="shared" si="7"/>
        <v>-4.4688974625917648E-4</v>
      </c>
      <c r="O108" s="1">
        <f t="shared" si="8"/>
        <v>-4.2270943498699473E-4</v>
      </c>
      <c r="P108" s="1">
        <f t="shared" si="9"/>
        <v>-1.9078308533046227E-4</v>
      </c>
    </row>
    <row r="109" spans="1:16" x14ac:dyDescent="0.3">
      <c r="A109" s="1">
        <v>0.81760087938425341</v>
      </c>
      <c r="B109" s="1">
        <v>0.95215160439255686</v>
      </c>
      <c r="F109" s="1">
        <f t="shared" si="10"/>
        <v>11.170521723206173</v>
      </c>
      <c r="L109" s="1">
        <f t="shared" si="11"/>
        <v>11.026735851929404</v>
      </c>
      <c r="M109" s="21">
        <f t="shared" si="6"/>
        <v>0.14378587127676923</v>
      </c>
      <c r="N109" s="21">
        <f t="shared" si="7"/>
        <v>-1.4450841334348666E-3</v>
      </c>
      <c r="O109" s="1">
        <f t="shared" si="8"/>
        <v>-1.1815020582805788E-3</v>
      </c>
      <c r="P109" s="1">
        <f t="shared" si="9"/>
        <v>-1.375939176132236E-3</v>
      </c>
    </row>
    <row r="110" spans="1:16" x14ac:dyDescent="0.3">
      <c r="A110" s="1">
        <v>0.35534371338618209</v>
      </c>
      <c r="B110" s="1">
        <v>0.10541352700812257</v>
      </c>
      <c r="F110" s="1">
        <f t="shared" si="10"/>
        <v>10.26200267829959</v>
      </c>
      <c r="L110" s="1">
        <f t="shared" si="11"/>
        <v>10.395106219088424</v>
      </c>
      <c r="M110" s="21">
        <f t="shared" si="6"/>
        <v>-0.13310354078883435</v>
      </c>
      <c r="N110" s="21">
        <f t="shared" si="7"/>
        <v>1.337724028028486E-3</v>
      </c>
      <c r="O110" s="1">
        <f t="shared" si="8"/>
        <v>4.7535182360556336E-4</v>
      </c>
      <c r="P110" s="1">
        <f t="shared" si="9"/>
        <v>1.4101420795799532E-4</v>
      </c>
    </row>
    <row r="111" spans="1:16" x14ac:dyDescent="0.3">
      <c r="A111" s="1">
        <v>0.50685538476629555</v>
      </c>
      <c r="B111" s="1">
        <v>0.70092930234311024</v>
      </c>
      <c r="F111" s="1">
        <f t="shared" si="10"/>
        <v>10.814171134257636</v>
      </c>
      <c r="L111" s="1">
        <f t="shared" si="11"/>
        <v>10.782834837711915</v>
      </c>
      <c r="M111" s="21">
        <f t="shared" si="6"/>
        <v>3.1336296545720899E-2</v>
      </c>
      <c r="N111" s="21">
        <f t="shared" si="7"/>
        <v>-3.1493765372583816E-4</v>
      </c>
      <c r="O111" s="1">
        <f t="shared" si="8"/>
        <v>-1.5962784565660406E-4</v>
      </c>
      <c r="P111" s="1">
        <f t="shared" si="9"/>
        <v>-2.2074902990762779E-4</v>
      </c>
    </row>
    <row r="112" spans="1:16" x14ac:dyDescent="0.3">
      <c r="A112" s="1">
        <v>5.2159099550081356E-2</v>
      </c>
      <c r="B112" s="1">
        <v>0.59417302171772901</v>
      </c>
      <c r="F112" s="1">
        <f t="shared" si="10"/>
        <v>10.501417967149225</v>
      </c>
      <c r="L112" s="1">
        <f t="shared" si="11"/>
        <v>10.574178744988039</v>
      </c>
      <c r="M112" s="21">
        <f t="shared" si="6"/>
        <v>-7.2760777838814406E-2</v>
      </c>
      <c r="N112" s="21">
        <f t="shared" si="7"/>
        <v>7.312640988825569E-4</v>
      </c>
      <c r="O112" s="1">
        <f t="shared" si="8"/>
        <v>3.814207693101582E-5</v>
      </c>
      <c r="P112" s="1">
        <f t="shared" si="9"/>
        <v>4.3449739930674099E-4</v>
      </c>
    </row>
    <row r="113" spans="1:16" x14ac:dyDescent="0.3">
      <c r="A113" s="1">
        <v>0.18428000831022995</v>
      </c>
      <c r="B113" s="1">
        <v>0.23438479121775935</v>
      </c>
      <c r="F113" s="1">
        <f t="shared" si="10"/>
        <v>10.279647837129321</v>
      </c>
      <c r="L113" s="1">
        <f t="shared" si="11"/>
        <v>10.412721472256921</v>
      </c>
      <c r="M113" s="21">
        <f t="shared" si="6"/>
        <v>-0.13307363512759984</v>
      </c>
      <c r="N113" s="21">
        <f t="shared" si="7"/>
        <v>1.337423468619094E-3</v>
      </c>
      <c r="O113" s="1">
        <f t="shared" si="8"/>
        <v>2.4646040791142317E-4</v>
      </c>
      <c r="P113" s="1">
        <f t="shared" si="9"/>
        <v>3.1347172046201785E-4</v>
      </c>
    </row>
    <row r="114" spans="1:16" x14ac:dyDescent="0.3">
      <c r="A114" s="1">
        <v>0.92949540273642373</v>
      </c>
      <c r="B114" s="1">
        <v>0.48717289653299811</v>
      </c>
      <c r="F114" s="1">
        <f t="shared" si="10"/>
        <v>10.854486018594612</v>
      </c>
      <c r="L114" s="1">
        <f t="shared" si="11"/>
        <v>10.798918476120415</v>
      </c>
      <c r="M114" s="21">
        <f t="shared" si="6"/>
        <v>5.556754247419704E-2</v>
      </c>
      <c r="N114" s="21">
        <f t="shared" si="7"/>
        <v>-5.5846776355976922E-4</v>
      </c>
      <c r="O114" s="1">
        <f t="shared" si="8"/>
        <v>-5.1909321880529754E-4</v>
      </c>
      <c r="P114" s="1">
        <f t="shared" si="9"/>
        <v>-2.7207035799371829E-4</v>
      </c>
    </row>
    <row r="115" spans="1:16" x14ac:dyDescent="0.3">
      <c r="A115" s="1">
        <v>5.7715689733094599E-2</v>
      </c>
      <c r="B115" s="1">
        <v>0.84208569094010166</v>
      </c>
      <c r="F115" s="1">
        <f t="shared" si="10"/>
        <v>10.702526397618628</v>
      </c>
      <c r="L115" s="1">
        <f t="shared" si="11"/>
        <v>10.716869662846946</v>
      </c>
      <c r="M115" s="21">
        <f t="shared" si="6"/>
        <v>-1.4343265228317748E-2</v>
      </c>
      <c r="N115" s="21">
        <f t="shared" si="7"/>
        <v>1.4415341938007787E-4</v>
      </c>
      <c r="O115" s="1">
        <f t="shared" si="8"/>
        <v>8.3199140269052406E-6</v>
      </c>
      <c r="P115" s="1">
        <f t="shared" si="9"/>
        <v>1.213895317600511E-4</v>
      </c>
    </row>
    <row r="116" spans="1:16" x14ac:dyDescent="0.3">
      <c r="A116" s="1">
        <v>0.5946610525524304</v>
      </c>
      <c r="B116" s="1">
        <v>6.6003792420669116E-2</v>
      </c>
      <c r="F116" s="1">
        <f t="shared" si="10"/>
        <v>10.35013356021275</v>
      </c>
      <c r="L116" s="1">
        <f t="shared" si="11"/>
        <v>10.450600885497561</v>
      </c>
      <c r="M116" s="21">
        <f t="shared" si="6"/>
        <v>-0.10046732528481073</v>
      </c>
      <c r="N116" s="21">
        <f t="shared" si="7"/>
        <v>1.0097218621589019E-3</v>
      </c>
      <c r="O116" s="1">
        <f t="shared" si="8"/>
        <v>6.0044226533661257E-4</v>
      </c>
      <c r="P116" s="1">
        <f t="shared" si="9"/>
        <v>6.6645472192547632E-5</v>
      </c>
    </row>
    <row r="117" spans="1:16" x14ac:dyDescent="0.3">
      <c r="A117" s="1">
        <v>0.12550830897026888</v>
      </c>
      <c r="B117" s="1">
        <v>0.12168300426601808</v>
      </c>
      <c r="F117" s="1">
        <f t="shared" si="10"/>
        <v>10.160100557897948</v>
      </c>
      <c r="L117" s="1">
        <f t="shared" si="11"/>
        <v>10.329547606055646</v>
      </c>
      <c r="M117" s="21">
        <f t="shared" si="6"/>
        <v>-0.16944704815769818</v>
      </c>
      <c r="N117" s="21">
        <f t="shared" si="7"/>
        <v>1.7029854086200822E-3</v>
      </c>
      <c r="O117" s="1">
        <f t="shared" si="8"/>
        <v>2.1373881883694887E-4</v>
      </c>
      <c r="P117" s="1">
        <f t="shared" si="9"/>
        <v>2.0722438074208401E-4</v>
      </c>
    </row>
    <row r="118" spans="1:16" x14ac:dyDescent="0.3">
      <c r="A118" s="1">
        <v>0.12137218784602744</v>
      </c>
      <c r="B118" s="1">
        <v>7.315522026099841E-2</v>
      </c>
      <c r="F118" s="1">
        <f t="shared" si="10"/>
        <v>10.119210270131813</v>
      </c>
      <c r="L118" s="1">
        <f t="shared" si="11"/>
        <v>10.30062433227123</v>
      </c>
      <c r="M118" s="21">
        <f t="shared" si="6"/>
        <v>-0.18141406213941735</v>
      </c>
      <c r="N118" s="21">
        <f t="shared" si="7"/>
        <v>1.8232569059237925E-3</v>
      </c>
      <c r="O118" s="1">
        <f t="shared" si="8"/>
        <v>2.2129267967734934E-4</v>
      </c>
      <c r="P118" s="1">
        <f t="shared" si="9"/>
        <v>1.333807605452415E-4</v>
      </c>
    </row>
    <row r="119" spans="1:16" x14ac:dyDescent="0.3">
      <c r="A119" s="1">
        <v>4.1758665981559417E-2</v>
      </c>
      <c r="B119" s="1">
        <v>0.48086091631345129</v>
      </c>
      <c r="F119" s="1">
        <f t="shared" si="10"/>
        <v>10.405568066041541</v>
      </c>
      <c r="L119" s="1">
        <f t="shared" si="11"/>
        <v>10.506401364522373</v>
      </c>
      <c r="M119" s="21">
        <f t="shared" si="6"/>
        <v>-0.10083329848083267</v>
      </c>
      <c r="N119" s="21">
        <f t="shared" si="7"/>
        <v>1.0133999847319866E-3</v>
      </c>
      <c r="O119" s="1">
        <f t="shared" si="8"/>
        <v>4.2318231468140442E-5</v>
      </c>
      <c r="P119" s="1">
        <f t="shared" si="9"/>
        <v>4.8730444525026063E-4</v>
      </c>
    </row>
    <row r="120" spans="1:16" x14ac:dyDescent="0.3">
      <c r="A120" s="1">
        <v>0.94431574058653756</v>
      </c>
      <c r="B120" s="1">
        <v>0.96925470310079476</v>
      </c>
      <c r="F120" s="1">
        <f t="shared" si="10"/>
        <v>11.247561632773905</v>
      </c>
      <c r="L120" s="1">
        <f t="shared" si="11"/>
        <v>11.077696776758355</v>
      </c>
      <c r="M120" s="21">
        <f t="shared" si="6"/>
        <v>0.16986485601555046</v>
      </c>
      <c r="N120" s="21">
        <f t="shared" si="7"/>
        <v>-1.7071844825683464E-3</v>
      </c>
      <c r="O120" s="1">
        <f t="shared" si="8"/>
        <v>-1.6121211789743729E-3</v>
      </c>
      <c r="P120" s="1">
        <f t="shared" si="9"/>
        <v>-1.6546965887900666E-3</v>
      </c>
    </row>
    <row r="121" spans="1:16" x14ac:dyDescent="0.3">
      <c r="A121" s="1">
        <v>0.51770005039535094</v>
      </c>
      <c r="B121" s="1">
        <v>0.15316170631256232</v>
      </c>
      <c r="F121" s="1">
        <f t="shared" si="10"/>
        <v>10.381379390247726</v>
      </c>
      <c r="L121" s="1">
        <f t="shared" si="11"/>
        <v>10.475082129638686</v>
      </c>
      <c r="M121" s="21">
        <f t="shared" si="6"/>
        <v>-9.3702739390959522E-2</v>
      </c>
      <c r="N121" s="21">
        <f t="shared" si="7"/>
        <v>9.4173607428100028E-4</v>
      </c>
      <c r="O121" s="1">
        <f t="shared" si="8"/>
        <v>4.8753681311439374E-4</v>
      </c>
      <c r="P121" s="1">
        <f t="shared" si="9"/>
        <v>1.4423790403297193E-4</v>
      </c>
    </row>
    <row r="122" spans="1:16" x14ac:dyDescent="0.3">
      <c r="A122" s="1">
        <v>0.24678113588965933</v>
      </c>
      <c r="B122" s="1">
        <v>0.91613854140519047</v>
      </c>
      <c r="F122" s="1">
        <f t="shared" si="10"/>
        <v>10.856301401068983</v>
      </c>
      <c r="L122" s="1">
        <f t="shared" si="11"/>
        <v>10.820486813267472</v>
      </c>
      <c r="M122" s="21">
        <f t="shared" si="6"/>
        <v>3.5814587801510811E-2</v>
      </c>
      <c r="N122" s="21">
        <f t="shared" si="7"/>
        <v>-3.5994560604533476E-4</v>
      </c>
      <c r="O122" s="1">
        <f t="shared" si="8"/>
        <v>-8.8827785518359555E-5</v>
      </c>
      <c r="P122" s="1">
        <f t="shared" si="9"/>
        <v>-3.2976004250758031E-4</v>
      </c>
    </row>
    <row r="123" spans="1:16" x14ac:dyDescent="0.3">
      <c r="A123" s="1">
        <v>0.64320737024761021</v>
      </c>
      <c r="B123" s="1">
        <v>0.17310447732357115</v>
      </c>
      <c r="F123" s="1">
        <f t="shared" si="10"/>
        <v>10.460087266982661</v>
      </c>
      <c r="L123" s="1">
        <f t="shared" si="11"/>
        <v>10.527263751105723</v>
      </c>
      <c r="M123" s="21">
        <f t="shared" si="6"/>
        <v>-6.7176484123061542E-2</v>
      </c>
      <c r="N123" s="21">
        <f t="shared" si="7"/>
        <v>6.7514054395036724E-4</v>
      </c>
      <c r="O123" s="1">
        <f t="shared" si="8"/>
        <v>4.3425537382185681E-4</v>
      </c>
      <c r="P123" s="1">
        <f t="shared" si="9"/>
        <v>1.1686985098047984E-4</v>
      </c>
    </row>
    <row r="124" spans="1:16" x14ac:dyDescent="0.3">
      <c r="A124" s="1">
        <v>0.37145847837265933</v>
      </c>
      <c r="B124" s="1">
        <v>0.25318425798776301</v>
      </c>
      <c r="F124" s="1">
        <f t="shared" si="10"/>
        <v>10.388276645576539</v>
      </c>
      <c r="L124" s="1">
        <f t="shared" si="11"/>
        <v>10.484325388181489</v>
      </c>
      <c r="M124" s="21">
        <f t="shared" si="6"/>
        <v>-9.6048742604949666E-2</v>
      </c>
      <c r="N124" s="21">
        <f t="shared" si="7"/>
        <v>9.6531399602964492E-4</v>
      </c>
      <c r="O124" s="1">
        <f t="shared" si="8"/>
        <v>3.5857406811700321E-4</v>
      </c>
      <c r="P124" s="1">
        <f t="shared" si="9"/>
        <v>2.4440230780996806E-4</v>
      </c>
    </row>
    <row r="125" spans="1:16" x14ac:dyDescent="0.3">
      <c r="A125" s="1">
        <v>0.54351299510460194</v>
      </c>
      <c r="B125" s="1">
        <v>0.40506424685300968</v>
      </c>
      <c r="F125" s="1">
        <f t="shared" si="10"/>
        <v>10.59580789503471</v>
      </c>
      <c r="L125" s="1">
        <f t="shared" si="11"/>
        <v>10.626633190695062</v>
      </c>
      <c r="M125" s="21">
        <f t="shared" si="6"/>
        <v>-3.0825295660351415E-2</v>
      </c>
      <c r="N125" s="21">
        <f t="shared" si="7"/>
        <v>3.0980196643569261E-4</v>
      </c>
      <c r="O125" s="1">
        <f t="shared" si="8"/>
        <v>1.6838139466675866E-4</v>
      </c>
      <c r="P125" s="1">
        <f t="shared" si="9"/>
        <v>1.2548970020785522E-4</v>
      </c>
    </row>
    <row r="126" spans="1:16" x14ac:dyDescent="0.3">
      <c r="A126" s="1">
        <v>0.71256246763623277</v>
      </c>
      <c r="B126" s="1">
        <v>0.61365608692217044</v>
      </c>
      <c r="F126" s="1">
        <f t="shared" si="10"/>
        <v>10.847206103355852</v>
      </c>
      <c r="L126" s="1">
        <f t="shared" si="11"/>
        <v>10.800190839881697</v>
      </c>
      <c r="M126" s="21">
        <f t="shared" si="6"/>
        <v>4.7015263474154523E-2</v>
      </c>
      <c r="N126" s="21">
        <f t="shared" si="7"/>
        <v>-4.7251521079552287E-4</v>
      </c>
      <c r="O126" s="1">
        <f t="shared" si="8"/>
        <v>-3.3669660460011248E-4</v>
      </c>
      <c r="P126" s="1">
        <f t="shared" si="9"/>
        <v>-2.8996183526798508E-4</v>
      </c>
    </row>
    <row r="127" spans="1:16" x14ac:dyDescent="0.3">
      <c r="A127" s="1">
        <v>0.23965749842179052</v>
      </c>
      <c r="B127" s="1">
        <v>0.97608679760229344</v>
      </c>
      <c r="F127" s="1">
        <f t="shared" si="10"/>
        <v>10.900698187292731</v>
      </c>
      <c r="L127" s="1">
        <f t="shared" si="11"/>
        <v>10.852235354465138</v>
      </c>
      <c r="M127" s="21">
        <f t="shared" si="6"/>
        <v>4.846283282759245E-2</v>
      </c>
      <c r="N127" s="21">
        <f t="shared" si="7"/>
        <v>-4.8706364650846686E-4</v>
      </c>
      <c r="O127" s="1">
        <f t="shared" si="8"/>
        <v>-1.1672845509441442E-4</v>
      </c>
      <c r="P127" s="1">
        <f t="shared" si="9"/>
        <v>-4.7541639494894485E-4</v>
      </c>
    </row>
    <row r="128" spans="1:16" x14ac:dyDescent="0.3">
      <c r="A128" s="1">
        <v>0.63852372290935755</v>
      </c>
      <c r="B128" s="1">
        <v>0.15010336837577565</v>
      </c>
      <c r="F128" s="1">
        <f t="shared" si="10"/>
        <v>10.4393445561553</v>
      </c>
      <c r="L128" s="1">
        <f t="shared" si="11"/>
        <v>10.512668430892919</v>
      </c>
      <c r="M128" s="21">
        <f t="shared" si="6"/>
        <v>-7.3323874737619477E-2</v>
      </c>
      <c r="N128" s="21">
        <f t="shared" si="7"/>
        <v>7.3692336419718067E-4</v>
      </c>
      <c r="O128" s="1">
        <f t="shared" si="8"/>
        <v>4.7054305000607222E-4</v>
      </c>
      <c r="P128" s="1">
        <f t="shared" si="9"/>
        <v>1.1061467920080529E-4</v>
      </c>
    </row>
    <row r="129" spans="1:16" x14ac:dyDescent="0.3">
      <c r="A129" s="1">
        <v>0.48318486184092102</v>
      </c>
      <c r="B129" s="1">
        <v>0.32951422739478675</v>
      </c>
      <c r="F129" s="1">
        <f t="shared" si="10"/>
        <v>10.505203812836291</v>
      </c>
      <c r="L129" s="1">
        <f t="shared" si="11"/>
        <v>10.564065153031127</v>
      </c>
      <c r="M129" s="21">
        <f t="shared" si="6"/>
        <v>-5.8861340194836131E-2</v>
      </c>
      <c r="N129" s="21">
        <f t="shared" si="7"/>
        <v>5.9157125823955912E-4</v>
      </c>
      <c r="O129" s="1">
        <f t="shared" si="8"/>
        <v>2.8583827668154119E-4</v>
      </c>
      <c r="P129" s="1">
        <f t="shared" si="9"/>
        <v>1.9493114610777019E-4</v>
      </c>
    </row>
    <row r="130" spans="1:16" x14ac:dyDescent="0.3">
      <c r="A130" s="1">
        <v>0.64184075783950956</v>
      </c>
      <c r="B130" s="1">
        <v>0.94482903143251207</v>
      </c>
      <c r="F130" s="1">
        <f t="shared" si="10"/>
        <v>11.076783604065765</v>
      </c>
      <c r="L130" s="1">
        <f t="shared" si="11"/>
        <v>10.965370271558349</v>
      </c>
      <c r="M130" s="21">
        <f t="shared" si="6"/>
        <v>0.11141333250741603</v>
      </c>
      <c r="N130" s="21">
        <f t="shared" si="7"/>
        <v>-1.1197319849991561E-3</v>
      </c>
      <c r="O130" s="1">
        <f t="shared" si="8"/>
        <v>-7.186896258289967E-4</v>
      </c>
      <c r="P130" s="1">
        <f t="shared" si="9"/>
        <v>-1.0579552868507567E-3</v>
      </c>
    </row>
    <row r="131" spans="1:16" x14ac:dyDescent="0.3">
      <c r="A131" s="1">
        <v>0.88125689596329515</v>
      </c>
      <c r="B131" s="1">
        <v>1.0708760130898054E-2</v>
      </c>
      <c r="F131" s="1">
        <f t="shared" si="10"/>
        <v>10.449195456086366</v>
      </c>
      <c r="L131" s="1">
        <f t="shared" si="11"/>
        <v>10.512455998697215</v>
      </c>
      <c r="M131" s="21">
        <f t="shared" si="6"/>
        <v>-6.3260542610848347E-2</v>
      </c>
      <c r="N131" s="21">
        <f t="shared" si="7"/>
        <v>6.3578434784772211E-4</v>
      </c>
      <c r="O131" s="1">
        <f t="shared" si="8"/>
        <v>5.6028934088633148E-4</v>
      </c>
      <c r="P131" s="1">
        <f t="shared" si="9"/>
        <v>6.8084620760807055E-6</v>
      </c>
    </row>
    <row r="132" spans="1:16" x14ac:dyDescent="0.3">
      <c r="A132" s="1">
        <v>0.46096559310559615</v>
      </c>
      <c r="B132" s="1">
        <v>0.73498380201779345</v>
      </c>
      <c r="F132" s="1">
        <f t="shared" si="10"/>
        <v>10.818469838167033</v>
      </c>
      <c r="L132" s="1">
        <f t="shared" si="11"/>
        <v>10.787251465243557</v>
      </c>
      <c r="M132" s="21">
        <f t="shared" ref="M132:M195" si="12">+(F132-L132)</f>
        <v>3.1218372923476068E-2</v>
      </c>
      <c r="N132" s="21">
        <f t="shared" ref="N132:N195" si="13">+(2/199)*(-M132)</f>
        <v>-3.1375249169322681E-4</v>
      </c>
      <c r="O132" s="1">
        <f t="shared" ref="O132:O195" si="14">+(-M132*A132)*(2/199)</f>
        <v>-1.4462910342172693E-4</v>
      </c>
      <c r="P132" s="1">
        <f t="shared" ref="P132:P195" si="15">+(-M132*B132)*(2/199)</f>
        <v>-2.3060299923724403E-4</v>
      </c>
    </row>
    <row r="133" spans="1:16" x14ac:dyDescent="0.3">
      <c r="A133" s="1">
        <v>0.33801458965099929</v>
      </c>
      <c r="B133" s="1">
        <v>0.37915818997848494</v>
      </c>
      <c r="F133" s="1">
        <f t="shared" ref="F133:F196" si="16">+$D$6+A133*$D$8+$D$10*B133</f>
        <v>10.472333846808288</v>
      </c>
      <c r="L133" s="1">
        <f t="shared" si="11"/>
        <v>10.545028223130485</v>
      </c>
      <c r="M133" s="21">
        <f t="shared" si="12"/>
        <v>-7.2694376322196774E-2</v>
      </c>
      <c r="N133" s="21">
        <f t="shared" si="13"/>
        <v>7.3059674695675147E-4</v>
      </c>
      <c r="O133" s="1">
        <f t="shared" si="14"/>
        <v>2.4695235962294133E-4</v>
      </c>
      <c r="P133" s="1">
        <f t="shared" si="15"/>
        <v>2.7701174018029105E-4</v>
      </c>
    </row>
    <row r="134" spans="1:16" x14ac:dyDescent="0.3">
      <c r="A134" s="1">
        <v>0.42371681965337271</v>
      </c>
      <c r="B134" s="1">
        <v>0.26219696977412366</v>
      </c>
      <c r="F134" s="1">
        <f t="shared" si="16"/>
        <v>10.421615985645985</v>
      </c>
      <c r="L134" s="1">
        <f t="shared" ref="L134:L197" si="17">+$H$4+$H$6*A134+$H$9*B134</f>
        <v>10.506455515565495</v>
      </c>
      <c r="M134" s="21">
        <f t="shared" si="12"/>
        <v>-8.4839529919509715E-2</v>
      </c>
      <c r="N134" s="21">
        <f t="shared" si="13"/>
        <v>8.5265859215587659E-4</v>
      </c>
      <c r="O134" s="1">
        <f t="shared" si="14"/>
        <v>3.6128578691841024E-4</v>
      </c>
      <c r="P134" s="1">
        <f t="shared" si="15"/>
        <v>2.2356449911514119E-4</v>
      </c>
    </row>
    <row r="135" spans="1:16" x14ac:dyDescent="0.3">
      <c r="A135" s="1">
        <v>0.28625104400979273</v>
      </c>
      <c r="B135" s="1">
        <v>0.43299663204694905</v>
      </c>
      <c r="F135" s="1">
        <f t="shared" si="16"/>
        <v>10.489522827642455</v>
      </c>
      <c r="L135" s="1">
        <f t="shared" si="17"/>
        <v>10.558775837917565</v>
      </c>
      <c r="M135" s="21">
        <f t="shared" si="12"/>
        <v>-6.9253010275110327E-2</v>
      </c>
      <c r="N135" s="21">
        <f t="shared" si="13"/>
        <v>6.9601015351869672E-4</v>
      </c>
      <c r="O135" s="1">
        <f t="shared" si="14"/>
        <v>1.9923363308614305E-4</v>
      </c>
      <c r="P135" s="1">
        <f t="shared" si="15"/>
        <v>3.0137005234407566E-4</v>
      </c>
    </row>
    <row r="136" spans="1:16" x14ac:dyDescent="0.3">
      <c r="A136" s="1">
        <v>0.78112992597092623</v>
      </c>
      <c r="B136" s="1">
        <v>0.23572573866233515</v>
      </c>
      <c r="F136" s="1">
        <f t="shared" si="16"/>
        <v>10.579145553915332</v>
      </c>
      <c r="L136" s="1">
        <f t="shared" si="17"/>
        <v>10.607739231969832</v>
      </c>
      <c r="M136" s="21">
        <f t="shared" si="12"/>
        <v>-2.8593678054500415E-2</v>
      </c>
      <c r="N136" s="21">
        <f t="shared" si="13"/>
        <v>2.8737364878894889E-4</v>
      </c>
      <c r="O136" s="1">
        <f t="shared" si="14"/>
        <v>2.244761570045066E-4</v>
      </c>
      <c r="P136" s="1">
        <f t="shared" si="15"/>
        <v>6.7741365632865457E-5</v>
      </c>
    </row>
    <row r="137" spans="1:16" x14ac:dyDescent="0.3">
      <c r="A137" s="1">
        <v>0.33597926135903144</v>
      </c>
      <c r="B137" s="1">
        <v>0.26324189683544663</v>
      </c>
      <c r="F137" s="1">
        <f t="shared" si="16"/>
        <v>10.378583148147873</v>
      </c>
      <c r="L137" s="1">
        <f t="shared" si="17"/>
        <v>10.47849352610638</v>
      </c>
      <c r="M137" s="21">
        <f t="shared" si="12"/>
        <v>-9.9910377958506658E-2</v>
      </c>
      <c r="N137" s="21">
        <f t="shared" si="13"/>
        <v>1.0041244015930317E-3</v>
      </c>
      <c r="O137" s="1">
        <f t="shared" si="14"/>
        <v>3.3736497475980628E-4</v>
      </c>
      <c r="P137" s="1">
        <f t="shared" si="15"/>
        <v>2.6432761213410747E-4</v>
      </c>
    </row>
    <row r="138" spans="1:16" x14ac:dyDescent="0.3">
      <c r="A138" s="1">
        <v>0.55858295275258663</v>
      </c>
      <c r="B138" s="1">
        <v>0.25003431944880505</v>
      </c>
      <c r="F138" s="1">
        <f t="shared" si="16"/>
        <v>10.479318931935337</v>
      </c>
      <c r="L138" s="1">
        <f t="shared" si="17"/>
        <v>10.543438445046712</v>
      </c>
      <c r="M138" s="21">
        <f t="shared" si="12"/>
        <v>-6.4119513111375426E-2</v>
      </c>
      <c r="N138" s="21">
        <f t="shared" si="13"/>
        <v>6.4441721719975308E-4</v>
      </c>
      <c r="O138" s="1">
        <f t="shared" si="14"/>
        <v>3.5996047198804299E-4</v>
      </c>
      <c r="P138" s="1">
        <f t="shared" si="15"/>
        <v>1.6112642034363304E-4</v>
      </c>
    </row>
    <row r="139" spans="1:16" x14ac:dyDescent="0.3">
      <c r="A139" s="1">
        <v>0.16918744199426128</v>
      </c>
      <c r="B139" s="1">
        <v>0.81008908827347914</v>
      </c>
      <c r="F139" s="1">
        <f t="shared" si="16"/>
        <v>10.732664991615914</v>
      </c>
      <c r="L139" s="1">
        <f t="shared" si="17"/>
        <v>10.734967335343997</v>
      </c>
      <c r="M139" s="21">
        <f t="shared" si="12"/>
        <v>-2.3023437280826897E-3</v>
      </c>
      <c r="N139" s="21">
        <f t="shared" si="13"/>
        <v>2.3139132945554671E-5</v>
      </c>
      <c r="O139" s="1">
        <f t="shared" si="14"/>
        <v>3.9148507130235312E-6</v>
      </c>
      <c r="P139" s="1">
        <f t="shared" si="15"/>
        <v>1.8744759111303207E-5</v>
      </c>
    </row>
    <row r="140" spans="1:16" x14ac:dyDescent="0.3">
      <c r="A140" s="1">
        <v>7.773206630535745E-2</v>
      </c>
      <c r="B140" s="1">
        <v>0.97437379910545208</v>
      </c>
      <c r="F140" s="1">
        <f t="shared" si="16"/>
        <v>10.818365072437041</v>
      </c>
      <c r="L140" s="1">
        <f t="shared" si="17"/>
        <v>10.798560304645441</v>
      </c>
      <c r="M140" s="21">
        <f t="shared" si="12"/>
        <v>1.9804767791599787E-2</v>
      </c>
      <c r="N140" s="21">
        <f t="shared" si="13"/>
        <v>-1.9904289237788729E-4</v>
      </c>
      <c r="O140" s="1">
        <f t="shared" si="14"/>
        <v>-1.5472015307928062E-5</v>
      </c>
      <c r="P140" s="1">
        <f t="shared" si="15"/>
        <v>-1.9394217923117968E-4</v>
      </c>
    </row>
    <row r="141" spans="1:16" x14ac:dyDescent="0.3">
      <c r="A141" s="1">
        <v>0.74079577518918704</v>
      </c>
      <c r="B141" s="1">
        <v>0.49372747813608076</v>
      </c>
      <c r="F141" s="1">
        <f t="shared" si="16"/>
        <v>10.765379870103459</v>
      </c>
      <c r="L141" s="1">
        <f t="shared" si="17"/>
        <v>10.741227528318175</v>
      </c>
      <c r="M141" s="21">
        <f t="shared" si="12"/>
        <v>2.4152341785283582E-2</v>
      </c>
      <c r="N141" s="21">
        <f t="shared" si="13"/>
        <v>-2.4273710336968424E-4</v>
      </c>
      <c r="O141" s="1">
        <f t="shared" si="14"/>
        <v>-1.7981862065792305E-4</v>
      </c>
      <c r="P141" s="1">
        <f t="shared" si="15"/>
        <v>-1.1984597789677135E-4</v>
      </c>
    </row>
    <row r="142" spans="1:16" x14ac:dyDescent="0.3">
      <c r="A142" s="1">
        <v>0.74126023549663911</v>
      </c>
      <c r="B142" s="1">
        <v>0.47343246476261447</v>
      </c>
      <c r="F142" s="1">
        <f t="shared" si="16"/>
        <v>10.749376089558412</v>
      </c>
      <c r="L142" s="1">
        <f t="shared" si="17"/>
        <v>10.729845558841115</v>
      </c>
      <c r="M142" s="21">
        <f t="shared" si="12"/>
        <v>1.9530530717297268E-2</v>
      </c>
      <c r="N142" s="21">
        <f t="shared" si="13"/>
        <v>-1.9628674087735949E-4</v>
      </c>
      <c r="O142" s="1">
        <f t="shared" si="14"/>
        <v>-1.4549955576761926E-4</v>
      </c>
      <c r="P142" s="1">
        <f t="shared" si="15"/>
        <v>-9.2928515533788932E-5</v>
      </c>
    </row>
    <row r="143" spans="1:16" x14ac:dyDescent="0.3">
      <c r="A143" s="1">
        <v>0.18834737258021172</v>
      </c>
      <c r="B143" s="1">
        <v>0.97550679694070486</v>
      </c>
      <c r="F143" s="1">
        <f t="shared" si="16"/>
        <v>10.874579123842668</v>
      </c>
      <c r="L143" s="1">
        <f t="shared" si="17"/>
        <v>10.83520593502849</v>
      </c>
      <c r="M143" s="21">
        <f t="shared" si="12"/>
        <v>3.9373188814177951E-2</v>
      </c>
      <c r="N143" s="21">
        <f t="shared" si="13"/>
        <v>-3.9571044034349698E-4</v>
      </c>
      <c r="O143" s="1">
        <f t="shared" si="14"/>
        <v>-7.4531021741256278E-5</v>
      </c>
      <c r="P143" s="1">
        <f t="shared" si="15"/>
        <v>-3.8601822417548066E-4</v>
      </c>
    </row>
    <row r="144" spans="1:16" x14ac:dyDescent="0.3">
      <c r="A144" s="1">
        <v>0.59484994698642191</v>
      </c>
      <c r="B144" s="1">
        <v>0.66627473934019321</v>
      </c>
      <c r="F144" s="1">
        <f t="shared" si="16"/>
        <v>10.830444764965366</v>
      </c>
      <c r="L144" s="1">
        <f t="shared" si="17"/>
        <v>10.791780978038634</v>
      </c>
      <c r="M144" s="21">
        <f t="shared" si="12"/>
        <v>3.8663786926731447E-2</v>
      </c>
      <c r="N144" s="21">
        <f t="shared" si="13"/>
        <v>-3.8858077313297937E-4</v>
      </c>
      <c r="O144" s="1">
        <f t="shared" si="14"/>
        <v>-2.311472522980956E-4</v>
      </c>
      <c r="P144" s="1">
        <f t="shared" si="15"/>
        <v>-2.5890155333178661E-4</v>
      </c>
    </row>
    <row r="145" spans="1:16" x14ac:dyDescent="0.3">
      <c r="A145" s="1">
        <v>0.45406932878185868</v>
      </c>
      <c r="B145" s="1">
        <v>0.91622634952553195</v>
      </c>
      <c r="F145" s="1">
        <f t="shared" si="16"/>
        <v>10.960015744011356</v>
      </c>
      <c r="L145" s="1">
        <f t="shared" si="17"/>
        <v>10.888002450052635</v>
      </c>
      <c r="M145" s="21">
        <f t="shared" si="12"/>
        <v>7.2013293958720581E-2</v>
      </c>
      <c r="N145" s="21">
        <f t="shared" si="13"/>
        <v>-7.2375169807759379E-4</v>
      </c>
      <c r="O145" s="1">
        <f t="shared" si="14"/>
        <v>-3.2863344775082345E-4</v>
      </c>
      <c r="P145" s="1">
        <f t="shared" si="15"/>
        <v>-6.631203762925388E-4</v>
      </c>
    </row>
    <row r="146" spans="1:16" x14ac:dyDescent="0.3">
      <c r="A146" s="1">
        <v>0.39049117010911527</v>
      </c>
      <c r="B146" s="1">
        <v>0.36984441945387081</v>
      </c>
      <c r="F146" s="1">
        <f t="shared" si="16"/>
        <v>10.491121120617654</v>
      </c>
      <c r="L146" s="1">
        <f t="shared" si="17"/>
        <v>10.556814909674845</v>
      </c>
      <c r="M146" s="21">
        <f t="shared" si="12"/>
        <v>-6.5693789057190699E-2</v>
      </c>
      <c r="N146" s="21">
        <f t="shared" si="13"/>
        <v>6.602390860019166E-4</v>
      </c>
      <c r="O146" s="1">
        <f t="shared" si="14"/>
        <v>2.5781753324466118E-4</v>
      </c>
      <c r="P146" s="1">
        <f t="shared" si="15"/>
        <v>2.4418574146313314E-4</v>
      </c>
    </row>
    <row r="147" spans="1:16" x14ac:dyDescent="0.3">
      <c r="A147" s="1">
        <v>0.41045772141207615</v>
      </c>
      <c r="B147" s="1">
        <v>0.95916119214452322</v>
      </c>
      <c r="F147" s="1">
        <f t="shared" si="16"/>
        <v>10.972557814421657</v>
      </c>
      <c r="L147" s="1">
        <f t="shared" si="17"/>
        <v>10.898207025949802</v>
      </c>
      <c r="M147" s="21">
        <f t="shared" si="12"/>
        <v>7.4350788471855722E-2</v>
      </c>
      <c r="N147" s="21">
        <f t="shared" si="13"/>
        <v>-7.4724410524478109E-4</v>
      </c>
      <c r="O147" s="1">
        <f t="shared" si="14"/>
        <v>-3.0671211277737847E-4</v>
      </c>
      <c r="P147" s="1">
        <f t="shared" si="15"/>
        <v>-7.1672754680955197E-4</v>
      </c>
    </row>
    <row r="148" spans="1:16" x14ac:dyDescent="0.3">
      <c r="A148" s="1">
        <v>0.23695102123560863</v>
      </c>
      <c r="B148" s="1">
        <v>0.43272988934501233</v>
      </c>
      <c r="F148" s="1">
        <f t="shared" si="16"/>
        <v>10.464659422093813</v>
      </c>
      <c r="L148" s="1">
        <f t="shared" si="17"/>
        <v>10.542578659807466</v>
      </c>
      <c r="M148" s="21">
        <f t="shared" si="12"/>
        <v>-7.7919237713652834E-2</v>
      </c>
      <c r="N148" s="21">
        <f t="shared" si="13"/>
        <v>7.8310791672012896E-4</v>
      </c>
      <c r="O148" s="1">
        <f t="shared" si="14"/>
        <v>1.8555822060452453E-4</v>
      </c>
      <c r="P148" s="1">
        <f t="shared" si="15"/>
        <v>3.3887420214750454E-4</v>
      </c>
    </row>
    <row r="149" spans="1:16" x14ac:dyDescent="0.3">
      <c r="A149" s="1">
        <v>0.65953774380766594</v>
      </c>
      <c r="B149" s="1">
        <v>0.49860641761420232</v>
      </c>
      <c r="F149" s="1">
        <f t="shared" si="16"/>
        <v>10.728654005995194</v>
      </c>
      <c r="L149" s="1">
        <f t="shared" si="17"/>
        <v>10.717553190641782</v>
      </c>
      <c r="M149" s="21">
        <f t="shared" si="12"/>
        <v>1.110081535341223E-2</v>
      </c>
      <c r="N149" s="21">
        <f t="shared" si="13"/>
        <v>-1.115659834513792E-4</v>
      </c>
      <c r="O149" s="1">
        <f t="shared" si="14"/>
        <v>-7.3581977011206027E-5</v>
      </c>
      <c r="P149" s="1">
        <f t="shared" si="15"/>
        <v>-5.5627515336297562E-5</v>
      </c>
    </row>
    <row r="150" spans="1:16" x14ac:dyDescent="0.3">
      <c r="A150" s="1">
        <v>0.12503085921266865</v>
      </c>
      <c r="B150" s="1">
        <v>0.39798204335762133</v>
      </c>
      <c r="F150" s="1">
        <f t="shared" si="16"/>
        <v>10.380901064292431</v>
      </c>
      <c r="L150" s="1">
        <f t="shared" si="17"/>
        <v>10.486405882498776</v>
      </c>
      <c r="M150" s="21">
        <f t="shared" si="12"/>
        <v>-0.10550481820634516</v>
      </c>
      <c r="N150" s="21">
        <f t="shared" si="13"/>
        <v>1.0603499317220621E-3</v>
      </c>
      <c r="O150" s="1">
        <f t="shared" si="14"/>
        <v>1.3257646302930394E-4</v>
      </c>
      <c r="P150" s="1">
        <f t="shared" si="15"/>
        <v>4.2200023250086048E-4</v>
      </c>
    </row>
    <row r="151" spans="1:16" x14ac:dyDescent="0.3">
      <c r="A151" s="1">
        <v>0.22703388490661447</v>
      </c>
      <c r="B151" s="1">
        <v>0.71953196439792622</v>
      </c>
      <c r="F151" s="1">
        <f t="shared" si="16"/>
        <v>10.689142513971648</v>
      </c>
      <c r="L151" s="1">
        <f t="shared" si="17"/>
        <v>10.70233322390183</v>
      </c>
      <c r="M151" s="21">
        <f t="shared" si="12"/>
        <v>-1.319070993018201E-2</v>
      </c>
      <c r="N151" s="21">
        <f t="shared" si="13"/>
        <v>1.3256994904705538E-4</v>
      </c>
      <c r="O151" s="1">
        <f t="shared" si="14"/>
        <v>3.0097870554024915E-5</v>
      </c>
      <c r="P151" s="1">
        <f t="shared" si="15"/>
        <v>9.5388315857960747E-5</v>
      </c>
    </row>
    <row r="152" spans="1:16" x14ac:dyDescent="0.3">
      <c r="A152" s="1">
        <v>0.85539121287024344</v>
      </c>
      <c r="B152" s="1">
        <v>4.6876276228859703E-2</v>
      </c>
      <c r="F152" s="1">
        <f t="shared" si="16"/>
        <v>10.46519662741821</v>
      </c>
      <c r="L152" s="1">
        <f t="shared" si="17"/>
        <v>10.52459061213389</v>
      </c>
      <c r="M152" s="21">
        <f t="shared" si="12"/>
        <v>-5.9393984715679693E-2</v>
      </c>
      <c r="N152" s="21">
        <f t="shared" si="13"/>
        <v>5.9692446950431854E-4</v>
      </c>
      <c r="O152" s="1">
        <f t="shared" si="14"/>
        <v>5.1060394596122568E-4</v>
      </c>
      <c r="P152" s="1">
        <f t="shared" si="15"/>
        <v>2.7981596320249976E-5</v>
      </c>
    </row>
    <row r="153" spans="1:16" x14ac:dyDescent="0.3">
      <c r="A153" s="1">
        <v>0.27839387081353772</v>
      </c>
      <c r="B153" s="1">
        <v>0.84642179329395306</v>
      </c>
      <c r="F153" s="1">
        <f t="shared" si="16"/>
        <v>10.816334370041931</v>
      </c>
      <c r="L153" s="1">
        <f t="shared" si="17"/>
        <v>10.791157513314261</v>
      </c>
      <c r="M153" s="21">
        <f t="shared" si="12"/>
        <v>2.5176856727670227E-2</v>
      </c>
      <c r="N153" s="21">
        <f t="shared" si="13"/>
        <v>-2.5303373595648472E-4</v>
      </c>
      <c r="O153" s="1">
        <f t="shared" si="14"/>
        <v>-7.0443041199336426E-5</v>
      </c>
      <c r="P153" s="1">
        <f t="shared" si="15"/>
        <v>-2.1417326855215638E-4</v>
      </c>
    </row>
    <row r="154" spans="1:16" x14ac:dyDescent="0.3">
      <c r="A154" s="1">
        <v>0.20999534487203009</v>
      </c>
      <c r="B154" s="1">
        <v>0.39588196845761681</v>
      </c>
      <c r="F154" s="1">
        <f t="shared" si="16"/>
        <v>10.421703247202108</v>
      </c>
      <c r="L154" s="1">
        <f t="shared" si="17"/>
        <v>10.512865711188791</v>
      </c>
      <c r="M154" s="21">
        <f t="shared" si="12"/>
        <v>-9.1162463986682596E-2</v>
      </c>
      <c r="N154" s="21">
        <f t="shared" si="13"/>
        <v>9.1620566820786525E-4</v>
      </c>
      <c r="O154" s="1">
        <f t="shared" si="14"/>
        <v>1.9239892526901945E-4</v>
      </c>
      <c r="P154" s="1">
        <f t="shared" si="15"/>
        <v>3.6270930344215586E-4</v>
      </c>
    </row>
    <row r="155" spans="1:16" x14ac:dyDescent="0.3">
      <c r="A155" s="1">
        <v>0.56564217289469321</v>
      </c>
      <c r="B155" s="1">
        <v>0.70771202442131942</v>
      </c>
      <c r="F155" s="1">
        <f t="shared" si="16"/>
        <v>10.848990705984402</v>
      </c>
      <c r="L155" s="1">
        <f t="shared" si="17"/>
        <v>10.80582252158595</v>
      </c>
      <c r="M155" s="21">
        <f t="shared" si="12"/>
        <v>4.3168184398451714E-2</v>
      </c>
      <c r="N155" s="21">
        <f t="shared" si="13"/>
        <v>-4.3385109948192678E-4</v>
      </c>
      <c r="O155" s="1">
        <f t="shared" si="14"/>
        <v>-2.4540447862370876E-4</v>
      </c>
      <c r="P155" s="1">
        <f t="shared" si="15"/>
        <v>-3.0704163991176965E-4</v>
      </c>
    </row>
    <row r="156" spans="1:16" x14ac:dyDescent="0.3">
      <c r="A156" s="1">
        <v>0.66076650213537591</v>
      </c>
      <c r="B156" s="1">
        <v>0.75424129754228808</v>
      </c>
      <c r="F156" s="1">
        <f t="shared" si="16"/>
        <v>10.93377628910152</v>
      </c>
      <c r="L156" s="1">
        <f t="shared" si="17"/>
        <v>10.863223871054599</v>
      </c>
      <c r="M156" s="21">
        <f t="shared" si="12"/>
        <v>7.0552418046920806E-2</v>
      </c>
      <c r="N156" s="21">
        <f t="shared" si="13"/>
        <v>-7.0906952810975688E-4</v>
      </c>
      <c r="O156" s="1">
        <f t="shared" si="14"/>
        <v>-4.6852939185986565E-4</v>
      </c>
      <c r="P156" s="1">
        <f t="shared" si="15"/>
        <v>-5.3480952092920095E-4</v>
      </c>
    </row>
    <row r="157" spans="1:16" x14ac:dyDescent="0.3">
      <c r="A157" s="1">
        <v>0.76194212975729481</v>
      </c>
      <c r="B157" s="1">
        <v>0.50205881314819434</v>
      </c>
      <c r="F157" s="1">
        <f t="shared" si="16"/>
        <v>10.782618115397202</v>
      </c>
      <c r="L157" s="1">
        <f t="shared" si="17"/>
        <v>10.752844481009012</v>
      </c>
      <c r="M157" s="21">
        <f t="shared" si="12"/>
        <v>2.9773634388190473E-2</v>
      </c>
      <c r="N157" s="21">
        <f t="shared" si="13"/>
        <v>-2.9923250641397458E-4</v>
      </c>
      <c r="O157" s="1">
        <f t="shared" si="14"/>
        <v>-2.279978532296772E-4</v>
      </c>
      <c r="P157" s="1">
        <f t="shared" si="15"/>
        <v>-1.5023231702555954E-4</v>
      </c>
    </row>
    <row r="158" spans="1:16" x14ac:dyDescent="0.3">
      <c r="A158" s="1">
        <v>3.8318068281168793E-2</v>
      </c>
      <c r="B158" s="1">
        <v>0.94758804239686834</v>
      </c>
      <c r="F158" s="1">
        <f t="shared" si="16"/>
        <v>10.777229468058078</v>
      </c>
      <c r="L158" s="1">
        <f t="shared" si="17"/>
        <v>10.770510637470572</v>
      </c>
      <c r="M158" s="21">
        <f t="shared" si="12"/>
        <v>6.7188305875056642E-3</v>
      </c>
      <c r="N158" s="21">
        <f t="shared" si="13"/>
        <v>-6.7525935552820748E-5</v>
      </c>
      <c r="O158" s="1">
        <f t="shared" si="14"/>
        <v>-2.5874634092627889E-6</v>
      </c>
      <c r="P158" s="1">
        <f t="shared" si="15"/>
        <v>-6.3986769081514504E-5</v>
      </c>
    </row>
    <row r="159" spans="1:16" x14ac:dyDescent="0.3">
      <c r="A159" s="1">
        <v>0.9473362491147993</v>
      </c>
      <c r="B159" s="1">
        <v>0.42512658736366626</v>
      </c>
      <c r="F159" s="1">
        <f t="shared" si="16"/>
        <v>10.813769394448332</v>
      </c>
      <c r="L159" s="1">
        <f t="shared" si="17"/>
        <v>10.76946577698912</v>
      </c>
      <c r="M159" s="21">
        <f t="shared" si="12"/>
        <v>4.4303617459211964E-2</v>
      </c>
      <c r="N159" s="21">
        <f t="shared" si="13"/>
        <v>-4.4526248702725591E-4</v>
      </c>
      <c r="O159" s="1">
        <f t="shared" si="14"/>
        <v>-4.2181329433192764E-4</v>
      </c>
      <c r="P159" s="1">
        <f t="shared" si="15"/>
        <v>-1.89292921590956E-4</v>
      </c>
    </row>
    <row r="160" spans="1:16" x14ac:dyDescent="0.3">
      <c r="A160" s="1">
        <v>0.83788751584161025</v>
      </c>
      <c r="B160" s="1">
        <v>0.78473333832207381</v>
      </c>
      <c r="F160" s="1">
        <f t="shared" si="16"/>
        <v>11.046730428578465</v>
      </c>
      <c r="L160" s="1">
        <f t="shared" si="17"/>
        <v>10.938198994166139</v>
      </c>
      <c r="M160" s="21">
        <f t="shared" si="12"/>
        <v>0.10853143441232582</v>
      </c>
      <c r="N160" s="21">
        <f t="shared" si="13"/>
        <v>-1.0907681850485008E-3</v>
      </c>
      <c r="O160" s="1">
        <f t="shared" si="14"/>
        <v>-9.139410449293501E-4</v>
      </c>
      <c r="P160" s="1">
        <f t="shared" si="15"/>
        <v>-8.5596215918861958E-4</v>
      </c>
    </row>
    <row r="161" spans="1:16" x14ac:dyDescent="0.3">
      <c r="A161" s="1">
        <v>1.0579545890054609E-2</v>
      </c>
      <c r="B161" s="1">
        <v>0.44550154306197076</v>
      </c>
      <c r="F161" s="1">
        <f t="shared" si="16"/>
        <v>10.361691007394603</v>
      </c>
      <c r="L161" s="1">
        <f t="shared" si="17"/>
        <v>10.476159722331776</v>
      </c>
      <c r="M161" s="21">
        <f t="shared" si="12"/>
        <v>-0.11446871493717303</v>
      </c>
      <c r="N161" s="21">
        <f t="shared" si="13"/>
        <v>1.1504393461022415E-3</v>
      </c>
      <c r="O161" s="1">
        <f t="shared" si="14"/>
        <v>1.2171125855813082E-5</v>
      </c>
      <c r="P161" s="1">
        <f t="shared" si="15"/>
        <v>5.125225038877532E-4</v>
      </c>
    </row>
    <row r="162" spans="1:16" x14ac:dyDescent="0.3">
      <c r="A162" s="1">
        <v>0.23070496435916588</v>
      </c>
      <c r="B162" s="1">
        <v>0.14509956381985256</v>
      </c>
      <c r="F162" s="1">
        <f t="shared" si="16"/>
        <v>10.231432133235465</v>
      </c>
      <c r="L162" s="1">
        <f t="shared" si="17"/>
        <v>10.377092815005865</v>
      </c>
      <c r="M162" s="21">
        <f t="shared" si="12"/>
        <v>-0.14566068177039959</v>
      </c>
      <c r="N162" s="21">
        <f t="shared" si="13"/>
        <v>1.4639264499537647E-3</v>
      </c>
      <c r="O162" s="1">
        <f t="shared" si="14"/>
        <v>3.3773509946102354E-4</v>
      </c>
      <c r="P162" s="1">
        <f t="shared" si="15"/>
        <v>2.1241508935263646E-4</v>
      </c>
    </row>
    <row r="163" spans="1:16" x14ac:dyDescent="0.3">
      <c r="A163" s="1">
        <v>0.87546367551991233</v>
      </c>
      <c r="B163" s="1">
        <v>0.87235062533866747</v>
      </c>
      <c r="F163" s="1">
        <f t="shared" si="16"/>
        <v>11.13561233803089</v>
      </c>
      <c r="L163" s="1">
        <f t="shared" si="17"/>
        <v>11.00021950470936</v>
      </c>
      <c r="M163" s="21">
        <f t="shared" si="12"/>
        <v>0.1353928333215304</v>
      </c>
      <c r="N163" s="21">
        <f t="shared" si="13"/>
        <v>-1.36073199318121E-3</v>
      </c>
      <c r="O163" s="1">
        <f t="shared" si="14"/>
        <v>-1.1912714321479585E-3</v>
      </c>
      <c r="P163" s="1">
        <f t="shared" si="15"/>
        <v>-1.18703540516996E-3</v>
      </c>
    </row>
    <row r="164" spans="1:16" x14ac:dyDescent="0.3">
      <c r="A164" s="1">
        <v>0.56692545479074274</v>
      </c>
      <c r="B164" s="1">
        <v>0.3957847582510412</v>
      </c>
      <c r="F164" s="1">
        <f t="shared" si="16"/>
        <v>10.600090533996203</v>
      </c>
      <c r="L164" s="1">
        <f t="shared" si="17"/>
        <v>10.628979908529621</v>
      </c>
      <c r="M164" s="21">
        <f t="shared" si="12"/>
        <v>-2.8889374533417111E-2</v>
      </c>
      <c r="N164" s="21">
        <f t="shared" si="13"/>
        <v>2.903454726976594E-4</v>
      </c>
      <c r="O164" s="1">
        <f t="shared" si="14"/>
        <v>1.6460423915555376E-4</v>
      </c>
      <c r="P164" s="1">
        <f t="shared" si="15"/>
        <v>1.1491431272092742E-4</v>
      </c>
    </row>
    <row r="165" spans="1:16" x14ac:dyDescent="0.3">
      <c r="A165" s="1">
        <v>0.75263738951062653</v>
      </c>
      <c r="B165" s="1">
        <v>0.59249005570602953</v>
      </c>
      <c r="F165" s="1">
        <f t="shared" si="16"/>
        <v>10.850310739320138</v>
      </c>
      <c r="L165" s="1">
        <f t="shared" si="17"/>
        <v>10.801205843217685</v>
      </c>
      <c r="M165" s="21">
        <f t="shared" si="12"/>
        <v>4.91048961024525E-2</v>
      </c>
      <c r="N165" s="21">
        <f t="shared" si="13"/>
        <v>-4.9351654374324124E-4</v>
      </c>
      <c r="O165" s="1">
        <f t="shared" si="14"/>
        <v>-3.7143900316321995E-4</v>
      </c>
      <c r="P165" s="1">
        <f t="shared" si="15"/>
        <v>-2.9240364449428015E-4</v>
      </c>
    </row>
    <row r="166" spans="1:16" x14ac:dyDescent="0.3">
      <c r="A166" s="1">
        <v>0.594807743401087</v>
      </c>
      <c r="B166" s="1">
        <v>0.7198425657650328</v>
      </c>
      <c r="F166" s="1">
        <f t="shared" si="16"/>
        <v>10.873277924312569</v>
      </c>
      <c r="L166" s="1">
        <f t="shared" si="17"/>
        <v>10.822208466636221</v>
      </c>
      <c r="M166" s="21">
        <f t="shared" si="12"/>
        <v>5.1069457676348406E-2</v>
      </c>
      <c r="N166" s="21">
        <f t="shared" si="13"/>
        <v>-5.1326088116933073E-4</v>
      </c>
      <c r="O166" s="1">
        <f t="shared" si="14"/>
        <v>-3.0529154650438305E-4</v>
      </c>
      <c r="P166" s="1">
        <f t="shared" si="15"/>
        <v>-3.6946702960775267E-4</v>
      </c>
    </row>
    <row r="167" spans="1:16" x14ac:dyDescent="0.3">
      <c r="A167" s="1">
        <v>0.87709390671084408</v>
      </c>
      <c r="B167" s="1">
        <v>0.33716273229525173</v>
      </c>
      <c r="F167" s="1">
        <f t="shared" si="16"/>
        <v>10.708277139191622</v>
      </c>
      <c r="L167" s="1">
        <f t="shared" si="17"/>
        <v>10.696616513430563</v>
      </c>
      <c r="M167" s="21">
        <f t="shared" si="12"/>
        <v>1.1660625761059862E-2</v>
      </c>
      <c r="N167" s="21">
        <f t="shared" si="13"/>
        <v>-1.1719221870411921E-4</v>
      </c>
      <c r="O167" s="1">
        <f t="shared" si="14"/>
        <v>-1.0278858093930758E-4</v>
      </c>
      <c r="P167" s="1">
        <f t="shared" si="15"/>
        <v>-3.9512848662023547E-5</v>
      </c>
    </row>
    <row r="168" spans="1:16" x14ac:dyDescent="0.3">
      <c r="A168" s="1">
        <v>2.1000401811003266E-3</v>
      </c>
      <c r="B168" s="1">
        <v>0.33975787619853337</v>
      </c>
      <c r="F168" s="1">
        <f t="shared" si="16"/>
        <v>10.272856321049378</v>
      </c>
      <c r="L168" s="1">
        <f t="shared" si="17"/>
        <v>10.413308492894593</v>
      </c>
      <c r="M168" s="21">
        <f t="shared" si="12"/>
        <v>-0.14045217184521519</v>
      </c>
      <c r="N168" s="21">
        <f t="shared" si="13"/>
        <v>1.4115796165348261E-3</v>
      </c>
      <c r="O168" s="1">
        <f t="shared" si="14"/>
        <v>2.9643739135453258E-6</v>
      </c>
      <c r="P168" s="1">
        <f t="shared" si="15"/>
        <v>4.795952925990126E-4</v>
      </c>
    </row>
    <row r="169" spans="1:16" x14ac:dyDescent="0.3">
      <c r="A169" s="1">
        <v>0.88792539164319761</v>
      </c>
      <c r="B169" s="1">
        <v>7.0900502596364379E-2</v>
      </c>
      <c r="F169" s="1">
        <f t="shared" si="16"/>
        <v>10.50068309789869</v>
      </c>
      <c r="L169" s="1">
        <f t="shared" si="17"/>
        <v>10.548831809165646</v>
      </c>
      <c r="M169" s="21">
        <f t="shared" si="12"/>
        <v>-4.8148711266955857E-2</v>
      </c>
      <c r="N169" s="21">
        <f t="shared" si="13"/>
        <v>4.8390664589905384E-4</v>
      </c>
      <c r="O169" s="1">
        <f t="shared" si="14"/>
        <v>4.2967299807866358E-4</v>
      </c>
      <c r="P169" s="1">
        <f t="shared" si="15"/>
        <v>3.4309224403963849E-5</v>
      </c>
    </row>
    <row r="170" spans="1:16" x14ac:dyDescent="0.3">
      <c r="A170" s="1">
        <v>0.50244605099946771</v>
      </c>
      <c r="B170" s="1">
        <v>0.65570288880301875</v>
      </c>
      <c r="F170" s="1">
        <f t="shared" si="16"/>
        <v>10.775785336542148</v>
      </c>
      <c r="L170" s="1">
        <f t="shared" si="17"/>
        <v>10.755698726197323</v>
      </c>
      <c r="M170" s="21">
        <f t="shared" si="12"/>
        <v>2.0086610344824507E-2</v>
      </c>
      <c r="N170" s="21">
        <f t="shared" si="13"/>
        <v>-2.0187548085250762E-4</v>
      </c>
      <c r="O170" s="1">
        <f t="shared" si="14"/>
        <v>-1.014315381479611E-4</v>
      </c>
      <c r="P170" s="1">
        <f t="shared" si="15"/>
        <v>-1.3237033597348773E-4</v>
      </c>
    </row>
    <row r="171" spans="1:16" x14ac:dyDescent="0.3">
      <c r="A171" s="1">
        <v>1.577657313066938E-2</v>
      </c>
      <c r="B171" s="1">
        <v>0.22978909528328417</v>
      </c>
      <c r="F171" s="1">
        <f t="shared" si="16"/>
        <v>10.191719562791961</v>
      </c>
      <c r="L171" s="1">
        <f t="shared" si="17"/>
        <v>10.355267327739238</v>
      </c>
      <c r="M171" s="21">
        <f t="shared" si="12"/>
        <v>-0.16354776494727652</v>
      </c>
      <c r="N171" s="21">
        <f t="shared" si="13"/>
        <v>1.6436961301233822E-3</v>
      </c>
      <c r="O171" s="1">
        <f t="shared" si="14"/>
        <v>2.5931892201489792E-5</v>
      </c>
      <c r="P171" s="1">
        <f t="shared" si="15"/>
        <v>3.777034466616873E-4</v>
      </c>
    </row>
    <row r="172" spans="1:16" x14ac:dyDescent="0.3">
      <c r="A172" s="1">
        <v>0.20852301781313631</v>
      </c>
      <c r="B172" s="1">
        <v>0.81889280294708167</v>
      </c>
      <c r="F172" s="1">
        <f t="shared" si="16"/>
        <v>10.759375751264233</v>
      </c>
      <c r="L172" s="1">
        <f t="shared" si="17"/>
        <v>10.752772744392413</v>
      </c>
      <c r="M172" s="21">
        <f t="shared" si="12"/>
        <v>6.6030068718205825E-3</v>
      </c>
      <c r="N172" s="21">
        <f t="shared" si="13"/>
        <v>-6.636187810874957E-5</v>
      </c>
      <c r="O172" s="1">
        <f t="shared" si="14"/>
        <v>-1.3837979090983967E-5</v>
      </c>
      <c r="P172" s="1">
        <f t="shared" si="15"/>
        <v>-5.4343264373306515E-5</v>
      </c>
    </row>
    <row r="173" spans="1:16" x14ac:dyDescent="0.3">
      <c r="A173" s="1">
        <v>0.75421358200025079</v>
      </c>
      <c r="B173" s="1">
        <v>0.65697017698801197</v>
      </c>
      <c r="F173" s="1">
        <f t="shared" si="16"/>
        <v>10.902682932590535</v>
      </c>
      <c r="L173" s="1">
        <f t="shared" si="17"/>
        <v>10.83836124628378</v>
      </c>
      <c r="M173" s="21">
        <f t="shared" si="12"/>
        <v>6.4321686306755055E-2</v>
      </c>
      <c r="N173" s="21">
        <f t="shared" si="13"/>
        <v>-6.4644910861060359E-4</v>
      </c>
      <c r="O173" s="1">
        <f t="shared" si="14"/>
        <v>-4.8756069778607247E-4</v>
      </c>
      <c r="P173" s="1">
        <f t="shared" si="15"/>
        <v>-4.2469778529765083E-4</v>
      </c>
    </row>
    <row r="174" spans="1:16" x14ac:dyDescent="0.3">
      <c r="A174" s="1">
        <v>0.84261235467155737</v>
      </c>
      <c r="B174" s="1">
        <v>0.71812139915607343</v>
      </c>
      <c r="F174" s="1">
        <f t="shared" si="16"/>
        <v>10.995803296660638</v>
      </c>
      <c r="L174" s="1">
        <f t="shared" si="17"/>
        <v>10.901882919577281</v>
      </c>
      <c r="M174" s="21">
        <f t="shared" si="12"/>
        <v>9.3920377083357209E-2</v>
      </c>
      <c r="N174" s="21">
        <f t="shared" si="13"/>
        <v>-9.4392338777243433E-4</v>
      </c>
      <c r="O174" s="1">
        <f t="shared" si="14"/>
        <v>-7.9536150840048433E-4</v>
      </c>
      <c r="P174" s="1">
        <f t="shared" si="15"/>
        <v>-6.7785158392328129E-4</v>
      </c>
    </row>
    <row r="175" spans="1:16" x14ac:dyDescent="0.3">
      <c r="A175" s="1">
        <v>0.27121093935705964</v>
      </c>
      <c r="B175" s="1">
        <v>0.13913976479999879</v>
      </c>
      <c r="F175" s="1">
        <f t="shared" si="16"/>
        <v>10.246917281518529</v>
      </c>
      <c r="L175" s="1">
        <f t="shared" si="17"/>
        <v>10.38688942498095</v>
      </c>
      <c r="M175" s="21">
        <f t="shared" si="12"/>
        <v>-0.13997214346242082</v>
      </c>
      <c r="N175" s="21">
        <f t="shared" si="13"/>
        <v>1.4067552106775962E-3</v>
      </c>
      <c r="O175" s="1">
        <f t="shared" si="14"/>
        <v>3.8152740213330923E-4</v>
      </c>
      <c r="P175" s="1">
        <f t="shared" si="15"/>
        <v>1.9573558914485348E-4</v>
      </c>
    </row>
    <row r="176" spans="1:16" x14ac:dyDescent="0.3">
      <c r="A176" s="1">
        <v>0.11475600809413256</v>
      </c>
      <c r="B176" s="1">
        <v>0.11803218120809433</v>
      </c>
      <c r="F176" s="1">
        <f t="shared" si="16"/>
        <v>10.151803749013542</v>
      </c>
      <c r="L176" s="1">
        <f t="shared" si="17"/>
        <v>10.323973403578435</v>
      </c>
      <c r="M176" s="21">
        <f t="shared" si="12"/>
        <v>-0.17216965456489319</v>
      </c>
      <c r="N176" s="21">
        <f t="shared" si="13"/>
        <v>1.7303482870843537E-3</v>
      </c>
      <c r="O176" s="1">
        <f t="shared" si="14"/>
        <v>1.985678620383205E-4</v>
      </c>
      <c r="P176" s="1">
        <f t="shared" si="15"/>
        <v>2.0423678257425608E-4</v>
      </c>
    </row>
    <row r="177" spans="1:16" x14ac:dyDescent="0.3">
      <c r="A177" s="1">
        <v>0.15254436001089189</v>
      </c>
      <c r="B177" s="1">
        <v>0.14855492713021201</v>
      </c>
      <c r="F177" s="1">
        <f t="shared" si="16"/>
        <v>10.195116121709615</v>
      </c>
      <c r="L177" s="1">
        <f t="shared" si="17"/>
        <v>10.353617609773742</v>
      </c>
      <c r="M177" s="21">
        <f t="shared" si="12"/>
        <v>-0.15850148806412712</v>
      </c>
      <c r="N177" s="21">
        <f t="shared" si="13"/>
        <v>1.5929797795389659E-3</v>
      </c>
      <c r="O177" s="1">
        <f t="shared" si="14"/>
        <v>2.4300008098006323E-4</v>
      </c>
      <c r="P177" s="1">
        <f t="shared" si="15"/>
        <v>2.3664499506931229E-4</v>
      </c>
    </row>
    <row r="178" spans="1:16" x14ac:dyDescent="0.3">
      <c r="A178" s="1">
        <v>0.98780798399161651</v>
      </c>
      <c r="B178" s="1">
        <v>0.84160953793230353</v>
      </c>
      <c r="F178" s="1">
        <f t="shared" si="16"/>
        <v>11.167191622341651</v>
      </c>
      <c r="L178" s="1">
        <f t="shared" si="17"/>
        <v>11.019314643784726</v>
      </c>
      <c r="M178" s="21">
        <f t="shared" si="12"/>
        <v>0.1478769785569245</v>
      </c>
      <c r="N178" s="21">
        <f t="shared" si="13"/>
        <v>-1.4862007895168291E-3</v>
      </c>
      <c r="O178" s="1">
        <f t="shared" si="14"/>
        <v>-1.4680810056993678E-3</v>
      </c>
      <c r="P178" s="1">
        <f t="shared" si="15"/>
        <v>-1.2508007597398832E-3</v>
      </c>
    </row>
    <row r="179" spans="1:16" x14ac:dyDescent="0.3">
      <c r="A179" s="1">
        <v>0.13820943928885909</v>
      </c>
      <c r="B179" s="1">
        <v>0.15883339483228087</v>
      </c>
      <c r="F179" s="1">
        <f t="shared" si="16"/>
        <v>10.196171435510253</v>
      </c>
      <c r="L179" s="1">
        <f t="shared" si="17"/>
        <v>10.354793037449125</v>
      </c>
      <c r="M179" s="21">
        <f t="shared" si="12"/>
        <v>-0.1586216019388722</v>
      </c>
      <c r="N179" s="21">
        <f t="shared" si="13"/>
        <v>1.5941869541595197E-3</v>
      </c>
      <c r="O179" s="1">
        <f t="shared" si="14"/>
        <v>2.2033168505600133E-4</v>
      </c>
      <c r="P179" s="1">
        <f t="shared" si="15"/>
        <v>2.5321012592649023E-4</v>
      </c>
    </row>
    <row r="180" spans="1:16" x14ac:dyDescent="0.3">
      <c r="A180" s="1">
        <v>0.94328883432850685</v>
      </c>
      <c r="B180" s="1">
        <v>0.48591098414376122</v>
      </c>
      <c r="F180" s="1">
        <f t="shared" si="16"/>
        <v>10.860373204479261</v>
      </c>
      <c r="L180" s="1">
        <f t="shared" si="17"/>
        <v>10.80269068847176</v>
      </c>
      <c r="M180" s="21">
        <f t="shared" si="12"/>
        <v>5.7682516007501405E-2</v>
      </c>
      <c r="N180" s="21">
        <f t="shared" si="13"/>
        <v>-5.7972377896986342E-4</v>
      </c>
      <c r="O180" s="1">
        <f t="shared" si="14"/>
        <v>-5.4684696769699938E-4</v>
      </c>
      <c r="P180" s="1">
        <f t="shared" si="15"/>
        <v>-2.8169415197078663E-4</v>
      </c>
    </row>
    <row r="181" spans="1:16" x14ac:dyDescent="0.3">
      <c r="A181" s="1">
        <v>0.55846366144367943</v>
      </c>
      <c r="B181" s="1">
        <v>0.74684534903847544</v>
      </c>
      <c r="F181" s="1">
        <f t="shared" si="16"/>
        <v>10.87670810995262</v>
      </c>
      <c r="L181" s="1">
        <f t="shared" si="17"/>
        <v>10.825724610245167</v>
      </c>
      <c r="M181" s="21">
        <f t="shared" si="12"/>
        <v>5.0983499707452751E-2</v>
      </c>
      <c r="N181" s="21">
        <f t="shared" si="13"/>
        <v>-5.1239698198444973E-4</v>
      </c>
      <c r="O181" s="1">
        <f t="shared" si="14"/>
        <v>-2.8615509467172685E-4</v>
      </c>
      <c r="P181" s="1">
        <f t="shared" si="15"/>
        <v>-3.8268130285643779E-4</v>
      </c>
    </row>
    <row r="182" spans="1:16" x14ac:dyDescent="0.3">
      <c r="A182" s="1">
        <v>0.67035351316793723</v>
      </c>
      <c r="B182" s="1">
        <v>0.98874010317504835</v>
      </c>
      <c r="F182" s="1">
        <f t="shared" si="16"/>
        <v>11.126168839124007</v>
      </c>
      <c r="L182" s="1">
        <f t="shared" si="17"/>
        <v>10.999603807863485</v>
      </c>
      <c r="M182" s="21">
        <f t="shared" si="12"/>
        <v>0.12656503126052243</v>
      </c>
      <c r="N182" s="21">
        <f t="shared" si="13"/>
        <v>-1.2720103644273612E-3</v>
      </c>
      <c r="O182" s="1">
        <f t="shared" si="14"/>
        <v>-8.5269661657990964E-4</v>
      </c>
      <c r="P182" s="1">
        <f t="shared" si="15"/>
        <v>-1.2576876589636401E-3</v>
      </c>
    </row>
    <row r="183" spans="1:16" x14ac:dyDescent="0.3">
      <c r="A183" s="1">
        <v>0.143097572202042</v>
      </c>
      <c r="B183" s="1">
        <v>0.79736128165164066</v>
      </c>
      <c r="F183" s="1">
        <f t="shared" si="16"/>
        <v>10.709437811422333</v>
      </c>
      <c r="L183" s="1">
        <f t="shared" si="17"/>
        <v>10.719243022836322</v>
      </c>
      <c r="M183" s="21">
        <f t="shared" si="12"/>
        <v>-9.8052114139886015E-3</v>
      </c>
      <c r="N183" s="21">
        <f t="shared" si="13"/>
        <v>9.8544838331543735E-5</v>
      </c>
      <c r="O183" s="1">
        <f t="shared" si="14"/>
        <v>1.4101527118286636E-5</v>
      </c>
      <c r="P183" s="1">
        <f t="shared" si="15"/>
        <v>7.8575838592193434E-5</v>
      </c>
    </row>
    <row r="184" spans="1:16" x14ac:dyDescent="0.3">
      <c r="A184" s="1">
        <v>0.23103348765910792</v>
      </c>
      <c r="B184" s="1">
        <v>0.5899260083213842</v>
      </c>
      <c r="F184" s="1">
        <f t="shared" si="16"/>
        <v>10.587457550486661</v>
      </c>
      <c r="L184" s="1">
        <f t="shared" si="17"/>
        <v>10.629983220664597</v>
      </c>
      <c r="M184" s="21">
        <f t="shared" si="12"/>
        <v>-4.2525670177935737E-2</v>
      </c>
      <c r="N184" s="21">
        <f t="shared" si="13"/>
        <v>4.273936701300074E-4</v>
      </c>
      <c r="O184" s="1">
        <f t="shared" si="14"/>
        <v>9.8742250213561903E-5</v>
      </c>
      <c r="P184" s="1">
        <f t="shared" si="15"/>
        <v>2.5213064180162171E-4</v>
      </c>
    </row>
    <row r="185" spans="1:16" x14ac:dyDescent="0.3">
      <c r="A185" s="1">
        <v>0.97988255321181694</v>
      </c>
      <c r="B185" s="1">
        <v>0.10337922021529533</v>
      </c>
      <c r="F185" s="1">
        <f t="shared" si="16"/>
        <v>10.572644652778145</v>
      </c>
      <c r="L185" s="1">
        <f t="shared" si="17"/>
        <v>10.597217774901344</v>
      </c>
      <c r="M185" s="21">
        <f t="shared" si="12"/>
        <v>-2.4573122123198843E-2</v>
      </c>
      <c r="N185" s="21">
        <f t="shared" si="13"/>
        <v>2.4696605148943559E-4</v>
      </c>
      <c r="O185" s="1">
        <f t="shared" si="14"/>
        <v>2.4199772509010919E-4</v>
      </c>
      <c r="P185" s="1">
        <f t="shared" si="15"/>
        <v>2.5531157822628328E-5</v>
      </c>
    </row>
    <row r="186" spans="1:16" x14ac:dyDescent="0.3">
      <c r="A186" s="1">
        <v>0.6115249331932322</v>
      </c>
      <c r="B186" s="1">
        <v>0.45354951676583655</v>
      </c>
      <c r="F186" s="1">
        <f t="shared" si="16"/>
        <v>10.668602080009284</v>
      </c>
      <c r="L186" s="1">
        <f t="shared" si="17"/>
        <v>10.676321858961598</v>
      </c>
      <c r="M186" s="21">
        <f t="shared" si="12"/>
        <v>-7.7197789523140159E-3</v>
      </c>
      <c r="N186" s="21">
        <f t="shared" si="13"/>
        <v>7.7585718113708699E-5</v>
      </c>
      <c r="O186" s="1">
        <f t="shared" si="14"/>
        <v>4.7445601086234664E-5</v>
      </c>
      <c r="P186" s="1">
        <f t="shared" si="15"/>
        <v>3.5188964958402994E-5</v>
      </c>
    </row>
    <row r="187" spans="1:16" x14ac:dyDescent="0.3">
      <c r="A187" s="1">
        <v>0.82438212304303271</v>
      </c>
      <c r="B187" s="1">
        <v>0.73221282687611233</v>
      </c>
      <c r="F187" s="1">
        <f t="shared" si="16"/>
        <v>10.997961323022407</v>
      </c>
      <c r="L187" s="1">
        <f t="shared" si="17"/>
        <v>10.903957354571736</v>
      </c>
      <c r="M187" s="21">
        <f t="shared" si="12"/>
        <v>9.4003968450671493E-2</v>
      </c>
      <c r="N187" s="21">
        <f t="shared" si="13"/>
        <v>-9.4476350201679895E-4</v>
      </c>
      <c r="O187" s="1">
        <f t="shared" si="14"/>
        <v>-7.7884614156617917E-4</v>
      </c>
      <c r="P187" s="1">
        <f t="shared" si="15"/>
        <v>-6.9176795454109594E-4</v>
      </c>
    </row>
    <row r="188" spans="1:16" x14ac:dyDescent="0.3">
      <c r="A188" s="1">
        <v>0.53165395344476618</v>
      </c>
      <c r="B188" s="1">
        <v>1.8062187601832647E-2</v>
      </c>
      <c r="F188" s="1">
        <f t="shared" si="16"/>
        <v>10.28027672680385</v>
      </c>
      <c r="L188" s="1">
        <f t="shared" si="17"/>
        <v>10.402850084668636</v>
      </c>
      <c r="M188" s="21">
        <f t="shared" si="12"/>
        <v>-0.12257335786478585</v>
      </c>
      <c r="N188" s="21">
        <f t="shared" si="13"/>
        <v>1.2318930438671946E-3</v>
      </c>
      <c r="O188" s="1">
        <f t="shared" si="14"/>
        <v>6.5494080699310083E-4</v>
      </c>
      <c r="P188" s="1">
        <f t="shared" si="15"/>
        <v>2.225068326372192E-5</v>
      </c>
    </row>
    <row r="189" spans="1:16" x14ac:dyDescent="0.3">
      <c r="A189" s="1">
        <v>0.58566200224206566</v>
      </c>
      <c r="B189" s="1">
        <v>0.88350225219662371</v>
      </c>
      <c r="F189" s="1">
        <f t="shared" si="16"/>
        <v>10.999632802878333</v>
      </c>
      <c r="L189" s="1">
        <f t="shared" si="17"/>
        <v>10.912235428159702</v>
      </c>
      <c r="M189" s="21">
        <f t="shared" si="12"/>
        <v>8.7397374718630516E-2</v>
      </c>
      <c r="N189" s="21">
        <f t="shared" si="13"/>
        <v>-8.7836557506161322E-4</v>
      </c>
      <c r="O189" s="1">
        <f t="shared" si="14"/>
        <v>-5.1442534139108781E-4</v>
      </c>
      <c r="P189" s="1">
        <f t="shared" si="15"/>
        <v>-7.7603796381891783E-4</v>
      </c>
    </row>
    <row r="190" spans="1:16" x14ac:dyDescent="0.3">
      <c r="A190" s="1">
        <v>0.73415657123937283</v>
      </c>
      <c r="B190" s="1">
        <v>0.82078245855881926</v>
      </c>
      <c r="F190" s="1">
        <f t="shared" si="16"/>
        <v>11.023704252466743</v>
      </c>
      <c r="L190" s="1">
        <f t="shared" si="17"/>
        <v>10.924923651249133</v>
      </c>
      <c r="M190" s="21">
        <f t="shared" si="12"/>
        <v>9.8780601217610453E-2</v>
      </c>
      <c r="N190" s="21">
        <f t="shared" si="13"/>
        <v>-9.9276986148352222E-4</v>
      </c>
      <c r="O190" s="1">
        <f t="shared" si="14"/>
        <v>-7.2884851753652962E-4</v>
      </c>
      <c r="P190" s="1">
        <f t="shared" si="15"/>
        <v>-8.1484808769154377E-4</v>
      </c>
    </row>
    <row r="191" spans="1:16" x14ac:dyDescent="0.3">
      <c r="A191" s="1">
        <v>0.91154758712122119</v>
      </c>
      <c r="B191" s="1">
        <v>0.12060403682638388</v>
      </c>
      <c r="F191" s="1">
        <f t="shared" si="16"/>
        <v>10.552257023021717</v>
      </c>
      <c r="L191" s="1">
        <f t="shared" si="17"/>
        <v>10.58476533138084</v>
      </c>
      <c r="M191" s="21">
        <f t="shared" si="12"/>
        <v>-3.2508308359123106E-2</v>
      </c>
      <c r="N191" s="21">
        <f t="shared" si="13"/>
        <v>3.2671666692586036E-4</v>
      </c>
      <c r="O191" s="1">
        <f t="shared" si="14"/>
        <v>2.9781778940855569E-4</v>
      </c>
      <c r="P191" s="1">
        <f t="shared" si="15"/>
        <v>3.9403348929719864E-5</v>
      </c>
    </row>
    <row r="192" spans="1:16" x14ac:dyDescent="0.3">
      <c r="A192" s="1">
        <v>0.44694938682590679</v>
      </c>
      <c r="B192" s="1">
        <v>0.68126122884144669</v>
      </c>
      <c r="F192" s="1">
        <f t="shared" si="16"/>
        <v>10.768483676486111</v>
      </c>
      <c r="L192" s="1">
        <f t="shared" si="17"/>
        <v>10.752160471138108</v>
      </c>
      <c r="M192" s="21">
        <f t="shared" si="12"/>
        <v>1.6323205348003356E-2</v>
      </c>
      <c r="N192" s="21">
        <f t="shared" si="13"/>
        <v>-1.6405231505531011E-4</v>
      </c>
      <c r="O192" s="1">
        <f t="shared" si="14"/>
        <v>-7.3323081621341334E-5</v>
      </c>
      <c r="P192" s="1">
        <f t="shared" si="15"/>
        <v>-1.1176248174886474E-4</v>
      </c>
    </row>
    <row r="193" spans="1:16" x14ac:dyDescent="0.3">
      <c r="A193" s="1">
        <v>0.47058711978030032</v>
      </c>
      <c r="B193" s="1">
        <v>0.9111275352237147</v>
      </c>
      <c r="F193" s="1">
        <f t="shared" si="16"/>
        <v>10.964195588069122</v>
      </c>
      <c r="L193" s="1">
        <f t="shared" si="17"/>
        <v>10.890480941914047</v>
      </c>
      <c r="M193" s="21">
        <f t="shared" si="12"/>
        <v>7.3714646155075059E-2</v>
      </c>
      <c r="N193" s="21">
        <f t="shared" si="13"/>
        <v>-7.4085071512638252E-4</v>
      </c>
      <c r="O193" s="1">
        <f t="shared" si="14"/>
        <v>-3.4863480421850013E-4</v>
      </c>
      <c r="P193" s="1">
        <f t="shared" si="15"/>
        <v>-6.750094860418273E-4</v>
      </c>
    </row>
    <row r="194" spans="1:16" x14ac:dyDescent="0.3">
      <c r="A194" s="1">
        <v>3.2196315269623299E-2</v>
      </c>
      <c r="B194" s="1">
        <v>0.19469034365730731</v>
      </c>
      <c r="F194" s="1">
        <f t="shared" si="16"/>
        <v>10.171850432560657</v>
      </c>
      <c r="L194" s="1">
        <f t="shared" si="17"/>
        <v>10.34066571136168</v>
      </c>
      <c r="M194" s="21">
        <f t="shared" si="12"/>
        <v>-0.16881527880102354</v>
      </c>
      <c r="N194" s="21">
        <f t="shared" si="13"/>
        <v>1.6966359678494828E-3</v>
      </c>
      <c r="O194" s="1">
        <f t="shared" si="14"/>
        <v>5.4625426518664408E-5</v>
      </c>
      <c r="P194" s="1">
        <f t="shared" si="15"/>
        <v>3.3031863964196398E-4</v>
      </c>
    </row>
    <row r="195" spans="1:16" x14ac:dyDescent="0.3">
      <c r="A195" s="1">
        <v>0.58527084846980937</v>
      </c>
      <c r="B195" s="1">
        <v>0.72479345445593124</v>
      </c>
      <c r="F195" s="1">
        <f t="shared" si="16"/>
        <v>10.872470187799649</v>
      </c>
      <c r="L195" s="1">
        <f t="shared" si="17"/>
        <v>10.821917972877095</v>
      </c>
      <c r="M195" s="21">
        <f t="shared" si="12"/>
        <v>5.0552214922554128E-2</v>
      </c>
      <c r="N195" s="21">
        <f t="shared" si="13"/>
        <v>-5.0806246153320737E-4</v>
      </c>
      <c r="O195" s="1">
        <f t="shared" si="14"/>
        <v>-2.9735414793720014E-4</v>
      </c>
      <c r="P195" s="1">
        <f t="shared" si="15"/>
        <v>-3.6824034657403698E-4</v>
      </c>
    </row>
    <row r="196" spans="1:16" x14ac:dyDescent="0.3">
      <c r="A196" s="1">
        <v>0.79183884772841717</v>
      </c>
      <c r="B196" s="1">
        <v>0.46024056386128087</v>
      </c>
      <c r="F196" s="1">
        <f t="shared" si="16"/>
        <v>10.764111874953233</v>
      </c>
      <c r="L196" s="1">
        <f t="shared" si="17"/>
        <v>10.738810674655102</v>
      </c>
      <c r="M196" s="21">
        <f t="shared" ref="M196:M201" si="18">+(F196-L196)</f>
        <v>2.5301200298130766E-2</v>
      </c>
      <c r="N196" s="21">
        <f t="shared" ref="N196:N201" si="19">+(2/199)*(-M196)</f>
        <v>-2.5428342008171627E-4</v>
      </c>
      <c r="O196" s="1">
        <f t="shared" ref="O196:O201" si="20">+(-M196*A196)*(2/199)</f>
        <v>-2.0135149035394723E-4</v>
      </c>
      <c r="P196" s="1">
        <f t="shared" ref="P196:P201" si="21">+(-M196*B196)*(2/199)</f>
        <v>-1.1703154463898403E-4</v>
      </c>
    </row>
    <row r="197" spans="1:16" x14ac:dyDescent="0.3">
      <c r="A197" s="1">
        <v>0.1465353037857039</v>
      </c>
      <c r="B197" s="1">
        <v>0.23899224116155804</v>
      </c>
      <c r="F197" s="1">
        <f t="shared" ref="F197:F201" si="22">+$D$6+A197*$D$8+$D$10*B197</f>
        <v>10.264461444822098</v>
      </c>
      <c r="L197" s="1">
        <f t="shared" si="17"/>
        <v>10.403055062951848</v>
      </c>
      <c r="M197" s="21">
        <f t="shared" si="18"/>
        <v>-0.13859361812975024</v>
      </c>
      <c r="N197" s="21">
        <f t="shared" si="19"/>
        <v>1.392900684721108E-3</v>
      </c>
      <c r="O197" s="1">
        <f t="shared" si="20"/>
        <v>2.0410912497892251E-4</v>
      </c>
      <c r="P197" s="1">
        <f t="shared" si="21"/>
        <v>3.3289245635696637E-4</v>
      </c>
    </row>
    <row r="198" spans="1:16" x14ac:dyDescent="0.3">
      <c r="A198" s="1">
        <v>0.82407041498281541</v>
      </c>
      <c r="B198" s="1">
        <v>0.49511144288724107</v>
      </c>
      <c r="F198" s="1">
        <f t="shared" si="22"/>
        <v>10.808124361801202</v>
      </c>
      <c r="L198" s="1">
        <f t="shared" ref="L198:L201" si="23">+$H$4+$H$6*A198+$H$9*B198</f>
        <v>10.76911725628055</v>
      </c>
      <c r="M198" s="21">
        <f t="shared" si="18"/>
        <v>3.9007105520651564E-2</v>
      </c>
      <c r="N198" s="21">
        <f t="shared" si="19"/>
        <v>-3.9203121126282981E-4</v>
      </c>
      <c r="O198" s="1">
        <f t="shared" si="20"/>
        <v>-3.2306132295157594E-4</v>
      </c>
      <c r="P198" s="1">
        <f t="shared" si="21"/>
        <v>-1.9409913866517248E-4</v>
      </c>
    </row>
    <row r="199" spans="1:16" x14ac:dyDescent="0.3">
      <c r="A199" s="1">
        <v>0.39936310698718491</v>
      </c>
      <c r="B199" s="1">
        <v>0.5128122518713375</v>
      </c>
      <c r="F199" s="1">
        <f t="shared" si="22"/>
        <v>10.609931354990662</v>
      </c>
      <c r="L199" s="1">
        <f t="shared" si="23"/>
        <v>10.640947403440721</v>
      </c>
      <c r="M199" s="21">
        <f t="shared" si="18"/>
        <v>-3.101604845005923E-2</v>
      </c>
      <c r="N199" s="21">
        <f t="shared" si="19"/>
        <v>3.117190799000928E-4</v>
      </c>
      <c r="O199" s="1">
        <f t="shared" si="20"/>
        <v>1.2448910025608759E-4</v>
      </c>
      <c r="P199" s="1">
        <f t="shared" si="21"/>
        <v>1.5985336331482793E-4</v>
      </c>
    </row>
    <row r="200" spans="1:16" x14ac:dyDescent="0.3">
      <c r="A200" s="1">
        <v>5.1805818986069063E-2</v>
      </c>
      <c r="B200" s="1">
        <v>0.81020977612250211</v>
      </c>
      <c r="F200" s="1">
        <f t="shared" si="22"/>
        <v>10.674070730391035</v>
      </c>
      <c r="L200" s="1">
        <f t="shared" si="23"/>
        <v>10.696831920776081</v>
      </c>
      <c r="M200" s="21">
        <f t="shared" si="18"/>
        <v>-2.2761190385045538E-2</v>
      </c>
      <c r="N200" s="21">
        <f t="shared" si="19"/>
        <v>2.287556822617642E-4</v>
      </c>
      <c r="O200" s="1">
        <f t="shared" si="20"/>
        <v>1.1850875467287686E-5</v>
      </c>
      <c r="P200" s="1">
        <f t="shared" si="21"/>
        <v>1.853400901120542E-4</v>
      </c>
    </row>
    <row r="201" spans="1:16" x14ac:dyDescent="0.3">
      <c r="A201" s="1">
        <v>0.10541380401051903</v>
      </c>
      <c r="B201" s="1">
        <v>9.601204994450252E-2</v>
      </c>
      <c r="F201" s="1">
        <f t="shared" si="22"/>
        <v>10.129516541960861</v>
      </c>
      <c r="L201" s="1">
        <f t="shared" si="23"/>
        <v>10.308419335284798</v>
      </c>
      <c r="M201" s="21">
        <f t="shared" si="18"/>
        <v>-0.1789027933239371</v>
      </c>
      <c r="N201" s="21">
        <f t="shared" si="19"/>
        <v>1.7980180233561518E-3</v>
      </c>
      <c r="O201" s="1">
        <f t="shared" si="20"/>
        <v>1.8953591952144622E-4</v>
      </c>
      <c r="P201" s="1">
        <f t="shared" si="21"/>
        <v>1.7263139625958653E-4</v>
      </c>
    </row>
  </sheetData>
  <mergeCells count="4">
    <mergeCell ref="H18:J18"/>
    <mergeCell ref="H14:I14"/>
    <mergeCell ref="H11:J11"/>
    <mergeCell ref="N1:P1"/>
  </mergeCell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ejemplo_hoja_2">
                <anchor moveWithCells="1" sizeWithCells="1">
                  <from>
                    <xdr:col>8</xdr:col>
                    <xdr:colOff>419100</xdr:colOff>
                    <xdr:row>3</xdr:row>
                    <xdr:rowOff>38100</xdr:rowOff>
                  </from>
                  <to>
                    <xdr:col>10</xdr:col>
                    <xdr:colOff>106680</xdr:colOff>
                    <xdr:row>7</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DA66B-D500-4137-B1C0-53C57C68CB6A}">
  <sheetPr codeName="Hoja2"/>
  <dimension ref="A2:L29"/>
  <sheetViews>
    <sheetView workbookViewId="0">
      <selection activeCell="A2" sqref="A2:L29"/>
    </sheetView>
  </sheetViews>
  <sheetFormatPr baseColWidth="10" defaultRowHeight="14.4" x14ac:dyDescent="0.3"/>
  <sheetData>
    <row r="2" spans="1:12" x14ac:dyDescent="0.3">
      <c r="A2" s="62" t="s">
        <v>59</v>
      </c>
      <c r="B2" s="63"/>
      <c r="C2" s="63"/>
      <c r="D2" s="63"/>
      <c r="E2" s="63"/>
      <c r="F2" s="63"/>
      <c r="G2" s="63"/>
      <c r="H2" s="63"/>
      <c r="I2" s="63"/>
      <c r="J2" s="63"/>
      <c r="K2" s="63"/>
      <c r="L2" s="63"/>
    </row>
    <row r="3" spans="1:12" x14ac:dyDescent="0.3">
      <c r="A3" s="63"/>
      <c r="B3" s="63"/>
      <c r="C3" s="63"/>
      <c r="D3" s="63"/>
      <c r="E3" s="63"/>
      <c r="F3" s="63"/>
      <c r="G3" s="63"/>
      <c r="H3" s="63"/>
      <c r="I3" s="63"/>
      <c r="J3" s="63"/>
      <c r="K3" s="63"/>
      <c r="L3" s="63"/>
    </row>
    <row r="4" spans="1:12" x14ac:dyDescent="0.3">
      <c r="A4" s="63"/>
      <c r="B4" s="63"/>
      <c r="C4" s="63"/>
      <c r="D4" s="63"/>
      <c r="E4" s="63"/>
      <c r="F4" s="63"/>
      <c r="G4" s="63"/>
      <c r="H4" s="63"/>
      <c r="I4" s="63"/>
      <c r="J4" s="63"/>
      <c r="K4" s="63"/>
      <c r="L4" s="63"/>
    </row>
    <row r="5" spans="1:12" x14ac:dyDescent="0.3">
      <c r="A5" s="63"/>
      <c r="B5" s="63"/>
      <c r="C5" s="63"/>
      <c r="D5" s="63"/>
      <c r="E5" s="63"/>
      <c r="F5" s="63"/>
      <c r="G5" s="63"/>
      <c r="H5" s="63"/>
      <c r="I5" s="63"/>
      <c r="J5" s="63"/>
      <c r="K5" s="63"/>
      <c r="L5" s="63"/>
    </row>
    <row r="6" spans="1:12" x14ac:dyDescent="0.3">
      <c r="A6" s="63"/>
      <c r="B6" s="63"/>
      <c r="C6" s="63"/>
      <c r="D6" s="63"/>
      <c r="E6" s="63"/>
      <c r="F6" s="63"/>
      <c r="G6" s="63"/>
      <c r="H6" s="63"/>
      <c r="I6" s="63"/>
      <c r="J6" s="63"/>
      <c r="K6" s="63"/>
      <c r="L6" s="63"/>
    </row>
    <row r="7" spans="1:12" x14ac:dyDescent="0.3">
      <c r="A7" s="63"/>
      <c r="B7" s="63"/>
      <c r="C7" s="63"/>
      <c r="D7" s="63"/>
      <c r="E7" s="63"/>
      <c r="F7" s="63"/>
      <c r="G7" s="63"/>
      <c r="H7" s="63"/>
      <c r="I7" s="63"/>
      <c r="J7" s="63"/>
      <c r="K7" s="63"/>
      <c r="L7" s="63"/>
    </row>
    <row r="8" spans="1:12" x14ac:dyDescent="0.3">
      <c r="A8" s="63"/>
      <c r="B8" s="63"/>
      <c r="C8" s="63"/>
      <c r="D8" s="63"/>
      <c r="E8" s="63"/>
      <c r="F8" s="63"/>
      <c r="G8" s="63"/>
      <c r="H8" s="63"/>
      <c r="I8" s="63"/>
      <c r="J8" s="63"/>
      <c r="K8" s="63"/>
      <c r="L8" s="63"/>
    </row>
    <row r="9" spans="1:12" x14ac:dyDescent="0.3">
      <c r="A9" s="63"/>
      <c r="B9" s="63"/>
      <c r="C9" s="63"/>
      <c r="D9" s="63"/>
      <c r="E9" s="63"/>
      <c r="F9" s="63"/>
      <c r="G9" s="63"/>
      <c r="H9" s="63"/>
      <c r="I9" s="63"/>
      <c r="J9" s="63"/>
      <c r="K9" s="63"/>
      <c r="L9" s="63"/>
    </row>
    <row r="10" spans="1:12" x14ac:dyDescent="0.3">
      <c r="A10" s="63"/>
      <c r="B10" s="63"/>
      <c r="C10" s="63"/>
      <c r="D10" s="63"/>
      <c r="E10" s="63"/>
      <c r="F10" s="63"/>
      <c r="G10" s="63"/>
      <c r="H10" s="63"/>
      <c r="I10" s="63"/>
      <c r="J10" s="63"/>
      <c r="K10" s="63"/>
      <c r="L10" s="63"/>
    </row>
    <row r="11" spans="1:12" x14ac:dyDescent="0.3">
      <c r="A11" s="63"/>
      <c r="B11" s="63"/>
      <c r="C11" s="63"/>
      <c r="D11" s="63"/>
      <c r="E11" s="63"/>
      <c r="F11" s="63"/>
      <c r="G11" s="63"/>
      <c r="H11" s="63"/>
      <c r="I11" s="63"/>
      <c r="J11" s="63"/>
      <c r="K11" s="63"/>
      <c r="L11" s="63"/>
    </row>
    <row r="12" spans="1:12" x14ac:dyDescent="0.3">
      <c r="A12" s="63"/>
      <c r="B12" s="63"/>
      <c r="C12" s="63"/>
      <c r="D12" s="63"/>
      <c r="E12" s="63"/>
      <c r="F12" s="63"/>
      <c r="G12" s="63"/>
      <c r="H12" s="63"/>
      <c r="I12" s="63"/>
      <c r="J12" s="63"/>
      <c r="K12" s="63"/>
      <c r="L12" s="63"/>
    </row>
    <row r="13" spans="1:12" x14ac:dyDescent="0.3">
      <c r="A13" s="63"/>
      <c r="B13" s="63"/>
      <c r="C13" s="63"/>
      <c r="D13" s="63"/>
      <c r="E13" s="63"/>
      <c r="F13" s="63"/>
      <c r="G13" s="63"/>
      <c r="H13" s="63"/>
      <c r="I13" s="63"/>
      <c r="J13" s="63"/>
      <c r="K13" s="63"/>
      <c r="L13" s="63"/>
    </row>
    <row r="14" spans="1:12" x14ac:dyDescent="0.3">
      <c r="A14" s="63"/>
      <c r="B14" s="63"/>
      <c r="C14" s="63"/>
      <c r="D14" s="63"/>
      <c r="E14" s="63"/>
      <c r="F14" s="63"/>
      <c r="G14" s="63"/>
      <c r="H14" s="63"/>
      <c r="I14" s="63"/>
      <c r="J14" s="63"/>
      <c r="K14" s="63"/>
      <c r="L14" s="63"/>
    </row>
    <row r="15" spans="1:12" x14ac:dyDescent="0.3">
      <c r="A15" s="63"/>
      <c r="B15" s="63"/>
      <c r="C15" s="63"/>
      <c r="D15" s="63"/>
      <c r="E15" s="63"/>
      <c r="F15" s="63"/>
      <c r="G15" s="63"/>
      <c r="H15" s="63"/>
      <c r="I15" s="63"/>
      <c r="J15" s="63"/>
      <c r="K15" s="63"/>
      <c r="L15" s="63"/>
    </row>
    <row r="16" spans="1:12" x14ac:dyDescent="0.3">
      <c r="A16" s="63"/>
      <c r="B16" s="63"/>
      <c r="C16" s="63"/>
      <c r="D16" s="63"/>
      <c r="E16" s="63"/>
      <c r="F16" s="63"/>
      <c r="G16" s="63"/>
      <c r="H16" s="63"/>
      <c r="I16" s="63"/>
      <c r="J16" s="63"/>
      <c r="K16" s="63"/>
      <c r="L16" s="63"/>
    </row>
    <row r="17" spans="1:12" x14ac:dyDescent="0.3">
      <c r="A17" s="63"/>
      <c r="B17" s="63"/>
      <c r="C17" s="63"/>
      <c r="D17" s="63"/>
      <c r="E17" s="63"/>
      <c r="F17" s="63"/>
      <c r="G17" s="63"/>
      <c r="H17" s="63"/>
      <c r="I17" s="63"/>
      <c r="J17" s="63"/>
      <c r="K17" s="63"/>
      <c r="L17" s="63"/>
    </row>
    <row r="18" spans="1:12" x14ac:dyDescent="0.3">
      <c r="A18" s="63"/>
      <c r="B18" s="63"/>
      <c r="C18" s="63"/>
      <c r="D18" s="63"/>
      <c r="E18" s="63"/>
      <c r="F18" s="63"/>
      <c r="G18" s="63"/>
      <c r="H18" s="63"/>
      <c r="I18" s="63"/>
      <c r="J18" s="63"/>
      <c r="K18" s="63"/>
      <c r="L18" s="63"/>
    </row>
    <row r="19" spans="1:12" x14ac:dyDescent="0.3">
      <c r="A19" s="63"/>
      <c r="B19" s="63"/>
      <c r="C19" s="63"/>
      <c r="D19" s="63"/>
      <c r="E19" s="63"/>
      <c r="F19" s="63"/>
      <c r="G19" s="63"/>
      <c r="H19" s="63"/>
      <c r="I19" s="63"/>
      <c r="J19" s="63"/>
      <c r="K19" s="63"/>
      <c r="L19" s="63"/>
    </row>
    <row r="20" spans="1:12" x14ac:dyDescent="0.3">
      <c r="A20" s="63"/>
      <c r="B20" s="63"/>
      <c r="C20" s="63"/>
      <c r="D20" s="63"/>
      <c r="E20" s="63"/>
      <c r="F20" s="63"/>
      <c r="G20" s="63"/>
      <c r="H20" s="63"/>
      <c r="I20" s="63"/>
      <c r="J20" s="63"/>
      <c r="K20" s="63"/>
      <c r="L20" s="63"/>
    </row>
    <row r="21" spans="1:12" x14ac:dyDescent="0.3">
      <c r="A21" s="63"/>
      <c r="B21" s="63"/>
      <c r="C21" s="63"/>
      <c r="D21" s="63"/>
      <c r="E21" s="63"/>
      <c r="F21" s="63"/>
      <c r="G21" s="63"/>
      <c r="H21" s="63"/>
      <c r="I21" s="63"/>
      <c r="J21" s="63"/>
      <c r="K21" s="63"/>
      <c r="L21" s="63"/>
    </row>
    <row r="22" spans="1:12" x14ac:dyDescent="0.3">
      <c r="A22" s="63"/>
      <c r="B22" s="63"/>
      <c r="C22" s="63"/>
      <c r="D22" s="63"/>
      <c r="E22" s="63"/>
      <c r="F22" s="63"/>
      <c r="G22" s="63"/>
      <c r="H22" s="63"/>
      <c r="I22" s="63"/>
      <c r="J22" s="63"/>
      <c r="K22" s="63"/>
      <c r="L22" s="63"/>
    </row>
    <row r="23" spans="1:12" x14ac:dyDescent="0.3">
      <c r="A23" s="63"/>
      <c r="B23" s="63"/>
      <c r="C23" s="63"/>
      <c r="D23" s="63"/>
      <c r="E23" s="63"/>
      <c r="F23" s="63"/>
      <c r="G23" s="63"/>
      <c r="H23" s="63"/>
      <c r="I23" s="63"/>
      <c r="J23" s="63"/>
      <c r="K23" s="63"/>
      <c r="L23" s="63"/>
    </row>
    <row r="24" spans="1:12" x14ac:dyDescent="0.3">
      <c r="A24" s="63"/>
      <c r="B24" s="63"/>
      <c r="C24" s="63"/>
      <c r="D24" s="63"/>
      <c r="E24" s="63"/>
      <c r="F24" s="63"/>
      <c r="G24" s="63"/>
      <c r="H24" s="63"/>
      <c r="I24" s="63"/>
      <c r="J24" s="63"/>
      <c r="K24" s="63"/>
      <c r="L24" s="63"/>
    </row>
    <row r="25" spans="1:12" x14ac:dyDescent="0.3">
      <c r="A25" s="63"/>
      <c r="B25" s="63"/>
      <c r="C25" s="63"/>
      <c r="D25" s="63"/>
      <c r="E25" s="63"/>
      <c r="F25" s="63"/>
      <c r="G25" s="63"/>
      <c r="H25" s="63"/>
      <c r="I25" s="63"/>
      <c r="J25" s="63"/>
      <c r="K25" s="63"/>
      <c r="L25" s="63"/>
    </row>
    <row r="26" spans="1:12" x14ac:dyDescent="0.3">
      <c r="A26" s="63"/>
      <c r="B26" s="63"/>
      <c r="C26" s="63"/>
      <c r="D26" s="63"/>
      <c r="E26" s="63"/>
      <c r="F26" s="63"/>
      <c r="G26" s="63"/>
      <c r="H26" s="63"/>
      <c r="I26" s="63"/>
      <c r="J26" s="63"/>
      <c r="K26" s="63"/>
      <c r="L26" s="63"/>
    </row>
    <row r="27" spans="1:12" x14ac:dyDescent="0.3">
      <c r="A27" s="63"/>
      <c r="B27" s="63"/>
      <c r="C27" s="63"/>
      <c r="D27" s="63"/>
      <c r="E27" s="63"/>
      <c r="F27" s="63"/>
      <c r="G27" s="63"/>
      <c r="H27" s="63"/>
      <c r="I27" s="63"/>
      <c r="J27" s="63"/>
      <c r="K27" s="63"/>
      <c r="L27" s="63"/>
    </row>
    <row r="28" spans="1:12" x14ac:dyDescent="0.3">
      <c r="A28" s="63"/>
      <c r="B28" s="63"/>
      <c r="C28" s="63"/>
      <c r="D28" s="63"/>
      <c r="E28" s="63"/>
      <c r="F28" s="63"/>
      <c r="G28" s="63"/>
      <c r="H28" s="63"/>
      <c r="I28" s="63"/>
      <c r="J28" s="63"/>
      <c r="K28" s="63"/>
      <c r="L28" s="63"/>
    </row>
    <row r="29" spans="1:12" x14ac:dyDescent="0.3">
      <c r="A29" s="63"/>
      <c r="B29" s="63"/>
      <c r="C29" s="63"/>
      <c r="D29" s="63"/>
      <c r="E29" s="63"/>
      <c r="F29" s="63"/>
      <c r="G29" s="63"/>
      <c r="H29" s="63"/>
      <c r="I29" s="63"/>
      <c r="J29" s="63"/>
      <c r="K29" s="63"/>
      <c r="L29" s="63"/>
    </row>
  </sheetData>
  <mergeCells count="1">
    <mergeCell ref="A2:L2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Red 2</vt:lpstr>
      <vt:lpstr>Red 1</vt:lpstr>
      <vt:lpstr>Léeme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JOEL ALEJANDRO LONDOÑO VALENCIA</dc:creator>
  <cp:lastModifiedBy>Joe</cp:lastModifiedBy>
  <dcterms:created xsi:type="dcterms:W3CDTF">2019-09-11T13:02:54Z</dcterms:created>
  <dcterms:modified xsi:type="dcterms:W3CDTF">2020-11-27T01:06:59Z</dcterms:modified>
</cp:coreProperties>
</file>